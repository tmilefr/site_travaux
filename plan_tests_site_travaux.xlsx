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ynthèse" sheetId="1" state="visible" r:id="rId3"/>
    <sheet name="Cas de test" sheetId="2" state="visible" r:id="rId4"/>
    <sheet name="Smoke test" sheetId="3" state="visible" r:id="rId5"/>
    <sheet name="Comptes et données" sheetId="4" state="visible" r:id="rId6"/>
    <sheet name="Checklists" sheetId="5" state="visible" r:id="rId7"/>
    <sheet name="Anomalies" sheetId="6" state="visible" r:id="rId8"/>
    <sheet name="Zones à risque" sheetId="7" state="visible" r:id="rId9"/>
  </sheets>
  <definedNames>
    <definedName function="false" hidden="true" localSheetId="1" name="_xlnm._FilterDatabase" vbProcedure="false">'Cas de test'!$A$1:$L$204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<sst xmlns="http://schemas.openxmlformats.org/spreadsheetml/2006/main" count="1950" uniqueCount="1024">
  <si>
    <t xml:space="preserve">Plan de test — site_travaux (ABCM Mulhouse-Lutterbach)</t>
  </si>
  <si>
    <t xml:space="preserve">Source : DOCUMENTATION.md § 15 (branche develop). Seules les cellules en bleu (feuilles de saisie) sont à renseigner ; cette feuille se recalcule seule.</t>
  </si>
  <si>
    <t xml:space="preserve">Module</t>
  </si>
  <si>
    <t xml:space="preserve">Cas</t>
  </si>
  <si>
    <t xml:space="preserve">dont P1</t>
  </si>
  <si>
    <t xml:space="preserve">À faire</t>
  </si>
  <si>
    <t xml:space="preserve">OK</t>
  </si>
  <si>
    <t xml:space="preserve">KO</t>
  </si>
  <si>
    <t xml:space="preserve">Bloqué</t>
  </si>
  <si>
    <t xml:space="preserve">N/A</t>
  </si>
  <si>
    <t xml:space="preserve">% exécuté</t>
  </si>
  <si>
    <t xml:space="preserve">% OK</t>
  </si>
  <si>
    <t xml:space="preserve">AUT — Authentification</t>
  </si>
  <si>
    <t xml:space="preserve">ACL — Droits et rôles</t>
  </si>
  <si>
    <t xml:space="preserve">TRV — Travaux</t>
  </si>
  <si>
    <t xml:space="preserve">REF — Validation par le référent</t>
  </si>
  <si>
    <t xml:space="preserve">CAN — Cantine</t>
  </si>
  <si>
    <t xml:space="preserve">UNI — Unités</t>
  </si>
  <si>
    <t xml:space="preserve">FAM — Familles</t>
  </si>
  <si>
    <t xml:space="preserve">IMP — Import CSV des familles</t>
  </si>
  <si>
    <t xml:space="preserve">ORG — Organigramme et commissions</t>
  </si>
  <si>
    <t xml:space="preserve">MAI — E-mails et notifications</t>
  </si>
  <si>
    <t xml:space="preserve">CRO — Tâches planifiées</t>
  </si>
  <si>
    <t xml:space="preserve">API — API REST</t>
  </si>
  <si>
    <t xml:space="preserve">BOF — Back-office générique (CRUD)</t>
  </si>
  <si>
    <t xml:space="preserve">TRA — Traductions</t>
  </si>
  <si>
    <t xml:space="preserve">SEC — Sécurité</t>
  </si>
  <si>
    <t xml:space="preserve">IHM — Ergonomie, responsive, compatibilité</t>
  </si>
  <si>
    <t xml:space="preserve">PER — Performance et robustesse</t>
  </si>
  <si>
    <t xml:space="preserve">Total</t>
  </si>
  <si>
    <t xml:space="preserve">Critères de sortie de recette (§ 15.9.2)</t>
  </si>
  <si>
    <t xml:space="preserve">Indicateur</t>
  </si>
  <si>
    <t xml:space="preserve">Réalisé</t>
  </si>
  <si>
    <t xml:space="preserve">Seuil</t>
  </si>
  <si>
    <t xml:space="preserve">Atteint ?</t>
  </si>
  <si>
    <t xml:space="preserve">Cas P1 exécutés et OK</t>
  </si>
  <si>
    <t xml:space="preserve">Cas P2 exécutés (hors À faire)</t>
  </si>
  <si>
    <t xml:space="preserve">Cas P1 en KO</t>
  </si>
  <si>
    <t xml:space="preserve">Anomalies S1/S2 ouvertes</t>
  </si>
  <si>
    <t xml:space="preserve">ID</t>
  </si>
  <si>
    <t xml:space="preserve">Priorité</t>
  </si>
  <si>
    <t xml:space="preserve">Rôle</t>
  </si>
  <si>
    <t xml:space="preserve">Objectif</t>
  </si>
  <si>
    <t xml:space="preserve">Étapes</t>
  </si>
  <si>
    <t xml:space="preserve">Résultat attendu</t>
  </si>
  <si>
    <t xml:space="preserve">Testeur</t>
  </si>
  <si>
    <t xml:space="preserve">Date</t>
  </si>
  <si>
    <t xml:space="preserve">Statut</t>
  </si>
  <si>
    <t xml:space="preserve">N° anomalie</t>
  </si>
  <si>
    <t xml:space="preserve">Commentaire</t>
  </si>
  <si>
    <t xml:space="preserve">AUT-01</t>
  </si>
  <si>
    <t xml:space="preserve">P1</t>
  </si>
  <si>
    <t xml:space="preserve">sys</t>
  </si>
  <si>
    <t xml:space="preserve">Connexion admin locale</t>
  </si>
  <si>
    <t xml:space="preserve">Home/login, saisir U-ADM + mot de passe valide</t>
  </si>
  <si>
    <t xml:space="preserve">Session ouverte, type=sys, redirection /Home, menu admin visible</t>
  </si>
  <si>
    <t xml:space="preserve">AUT-02</t>
  </si>
  <si>
    <t xml:space="preserve">—</t>
  </si>
  <si>
    <t xml:space="preserve">Mot de passe erroné</t>
  </si>
  <si>
    <t xml:space="preserve">Login valide + mot de passe faux</t>
  </si>
  <si>
    <t xml:space="preserve">Message d'erreur générique, pas de distinction « login inconnu » vs « mot de passe faux », aucune session</t>
  </si>
  <si>
    <t xml:space="preserve">AUT-03</t>
  </si>
  <si>
    <t xml:space="preserve">Login inexistant</t>
  </si>
  <si>
    <t xml:space="preserve">Saisir un login inconnu</t>
  </si>
  <si>
    <t xml:space="preserve">Même message et temps de réponse comparable à AUT-02 (protection contre l'énumération de comptes)</t>
  </si>
  <si>
    <t xml:space="preserve">AUT-04</t>
  </si>
  <si>
    <t xml:space="preserve">fam</t>
  </si>
  <si>
    <t xml:space="preserve">Connexion famille</t>
  </si>
  <si>
    <t xml:space="preserve">U-FAM1</t>
  </si>
  <si>
    <t xml:space="preserve">type=fam, menu famille sans entrées d'administration</t>
  </si>
  <si>
    <t xml:space="preserve">AUT-05</t>
  </si>
  <si>
    <t xml:space="preserve">Migration de mot de passe legacy</t>
  </si>
  <si>
    <t xml:space="preserve">Se connecter avec U-LEGACY (hash MD5/crypt)</t>
  </si>
  <si>
    <t xml:space="preserve">Connexion acceptée et famille.password réécrit en $2y$... en base</t>
  </si>
  <si>
    <t xml:space="preserve">AUT-06</t>
  </si>
  <si>
    <t xml:space="preserve">P2</t>
  </si>
  <si>
    <t xml:space="preserve">Connexion SSO Delta</t>
  </si>
  <si>
    <t xml:space="preserve">Choisir type_cnx = DELTA, identifiants Delta de test</t>
  </si>
  <si>
    <t xml:space="preserve">Compte famille local créé ou synchronisé, mot de passe stocké en bcrypt</t>
  </si>
  <si>
    <t xml:space="preserve">AUT-07</t>
  </si>
  <si>
    <t xml:space="preserve">Forçage NORM pour admin</t>
  </si>
  <si>
    <t xml:space="preserve">Se connecter avec le login admin en sélectionnant DELTA</t>
  </si>
  <si>
    <t xml:space="preserve">L'application force type_cnx=NORM et authentifie en local</t>
  </si>
  <si>
    <t xml:space="preserve">AUT-08</t>
  </si>
  <si>
    <t xml:space="preserve">tous</t>
  </si>
  <si>
    <t xml:space="preserve">Déconnexion</t>
  </si>
  <si>
    <t xml:space="preserve">Home/logout</t>
  </si>
  <si>
    <t xml:space="preserve">Session détruite, cache ACL invalidé, accès à une page protégée redirigé vers le login</t>
  </si>
  <si>
    <t xml:space="preserve">AUT-09</t>
  </si>
  <si>
    <t xml:space="preserve">Captcha activé</t>
  </si>
  <si>
    <t xml:space="preserve">travaux.captcha = true, soumettre sans résoudre le captcha</t>
  </si>
  <si>
    <t xml:space="preserve">Connexion refusée, message d'erreur captcha affiché</t>
  </si>
  <si>
    <t xml:space="preserve">AUT-10</t>
  </si>
  <si>
    <t xml:space="preserve">Champs obligatoires</t>
  </si>
  <si>
    <t xml:space="preserve">Soumettre le formulaire vide</t>
  </si>
  <si>
    <t xml:space="preserve">Messages de validation en français, pas d'erreur PHP</t>
  </si>
  <si>
    <t xml:space="preserve">AUT-11</t>
  </si>
  <si>
    <t xml:space="preserve">Mode maintenance</t>
  </si>
  <si>
    <t xml:space="preserve">travaux.maintenance = true, visiter le site</t>
  </si>
  <si>
    <t xml:space="preserve">Page Home/maintenance pour tous ; l'admin conserve un accès (à confirmer avec le métier)</t>
  </si>
  <si>
    <t xml:space="preserve">AUT-12</t>
  </si>
  <si>
    <t xml:space="preserve">Changement de mot de passe</t>
  </si>
  <si>
    <t xml:space="preserve">Home/myaccount → nouveau mot de passe</t>
  </si>
  <si>
    <t xml:space="preserve">Reconnexion possible avec le nouveau seulement ; l'ancien est refusé</t>
  </si>
  <si>
    <t xml:space="preserve">AUT-13</t>
  </si>
  <si>
    <t xml:space="preserve">P3</t>
  </si>
  <si>
    <t xml:space="preserve">Expiration de session</t>
  </si>
  <si>
    <t xml:space="preserve">Rester inactif au-delà de la durée de session, puis cliquer</t>
  </si>
  <si>
    <t xml:space="preserve">Redirection vers le login sans erreur PHP</t>
  </si>
  <si>
    <t xml:space="preserve">AUT-14</t>
  </si>
  <si>
    <t xml:space="preserve">Page publique Home/about</t>
  </si>
  <si>
    <t xml:space="preserve">Accès sans être connecté</t>
  </si>
  <si>
    <t xml:space="preserve">Page affichée (elle figure dans guestPages)</t>
  </si>
  <si>
    <t xml:space="preserve">ACL-01</t>
  </si>
  <si>
    <t xml:space="preserve">Accès direct à une URL admin</t>
  </si>
  <si>
    <t xml:space="preserve">En session fam, appeler Familys_controller/list</t>
  </si>
  <si>
    <t xml:space="preserve">Redirection Home/no_right, aucune donnée exposée</t>
  </si>
  <si>
    <t xml:space="preserve">ACL-02</t>
  </si>
  <si>
    <t xml:space="preserve">Accès sans session</t>
  </si>
  <si>
    <t xml:space="preserve">Appeler Units_controller/valid déconnecté</t>
  </si>
  <si>
    <t xml:space="preserve">Redirection vers le login, pas de fuite de contenu</t>
  </si>
  <si>
    <t xml:space="preserve">ACL-03</t>
  </si>
  <si>
    <t xml:space="preserve">Pages invitées (guestPages)</t>
  </si>
  <si>
    <t xml:space="preserve">Appeler home/login, home/no_right, home/about, admwork_controller/validate_by_token/&lt;token&gt;</t>
  </si>
  <si>
    <t xml:space="preserve">Accessibles sans session ; toute autre route exige une session</t>
  </si>
  <si>
    <t xml:space="preserve">ACL-04</t>
  </si>
  <si>
    <t xml:space="preserve">Matrice des droits</t>
  </si>
  <si>
    <t xml:space="preserve">Acl_roles_controller/set_rules/&lt;id&gt;, retirer un droit, sauvegarder</t>
  </si>
  <si>
    <t xml:space="preserve">Le droit disparaît immédiatement pour le rôle concerné (après reconnexion si le cache session persiste — comportement à documenter)</t>
  </si>
  <si>
    <t xml:space="preserve">ACL-05</t>
  </si>
  <si>
    <t xml:space="preserve">Invalidation du cache</t>
  </si>
  <si>
    <t xml:space="preserve">Modifier les droits d'un rôle, se déconnecter/reconnecter</t>
  </si>
  <si>
    <t xml:space="preserve">Les nouveaux droits s'appliquent sans intervention en base</t>
  </si>
  <si>
    <t xml:space="preserve">ACL-06</t>
  </si>
  <si>
    <t xml:space="preserve">Scan des contrôleurs</t>
  </si>
  <si>
    <t xml:space="preserve">Acl_controllers_controller/scan</t>
  </si>
  <si>
    <t xml:space="preserve">Les contrôleurs/actions présents dans le code mais absents de l'ACL sont listés ; les alertes (actions orphelines, contrôleurs supprimés) sont cohérentes</t>
  </si>
  <si>
    <t xml:space="preserve">ACL-07</t>
  </si>
  <si>
    <t xml:space="preserve">Application du scan</t>
  </si>
  <si>
    <t xml:space="preserve">Sélectionner quelques éléments détectés puis appliquer</t>
  </si>
  <si>
    <t xml:space="preserve">Insertion en acl_controllers / acl_actions conforme à la sélection, rien d'autre modifié</t>
  </si>
  <si>
    <t xml:space="preserve">ACL-08</t>
  </si>
  <si>
    <t xml:space="preserve">Ajout d'action en lot</t>
  </si>
  <si>
    <t xml:space="preserve">Acl_controllers_controller/bulk_add_action</t>
  </si>
  <si>
    <t xml:space="preserve">Action ajoutée à tous les contrôleurs choisis, sans doublon</t>
  </si>
  <si>
    <t xml:space="preserve">ACL-09</t>
  </si>
  <si>
    <t xml:space="preserve">Secure by default</t>
  </si>
  <si>
    <t xml:space="preserve">Ajouter un contrôleur non déclaré en ACL et l'appeler</t>
  </si>
  <si>
    <t xml:space="preserve">Accès refusé par défaut (DontCheck = FALSE)</t>
  </si>
  <si>
    <t xml:space="preserve">ACL-10</t>
  </si>
  <si>
    <t xml:space="preserve">Comptes admin</t>
  </si>
  <si>
    <t xml:space="preserve">Acl_users_controller : créer, modifier, supprimer un compte sys</t>
  </si>
  <si>
    <t xml:space="preserve">CRUD fonctionnel, mot de passe stocké en bcrypt, impossible de supprimer le dernier admin (ou anomalie à ouvrir si possible)</t>
  </si>
  <si>
    <t xml:space="preserve">ACL-11</t>
  </si>
  <si>
    <t xml:space="preserve">Cloisonnement inter-familles (IDOR)</t>
  </si>
  <si>
    <t xml:space="preserve">En session U-FAM1, appeler Familys_controller/histo puis forcer un id d'une autre famille dans l'URL</t>
  </si>
  <si>
    <t xml:space="preserve">Aucune donnée d'une autre famille accessible</t>
  </si>
  <si>
    <t xml:space="preserve">TRV-01</t>
  </si>
  <si>
    <t xml:space="preserve">Liste des sessions</t>
  </si>
  <si>
    <t xml:space="preserve">Admwork_controller/register</t>
  </si>
  <si>
    <t xml:space="preserve">Seules les sessions statut=1, non archivées, de la civil_year courante et compatibles avec l'école de la famille apparaissent</t>
  </si>
  <si>
    <t xml:space="preserve">TRV-02</t>
  </si>
  <si>
    <t xml:space="preserve">Brouillon masqué</t>
  </si>
  <si>
    <t xml:space="preserve">Chercher T-BROUILLON dans la liste</t>
  </si>
  <si>
    <t xml:space="preserve">Absent de la vue famille ; visible uniquement en Admwork_controller/list (admin)</t>
  </si>
  <si>
    <t xml:space="preserve">TRV-03</t>
  </si>
  <si>
    <t xml:space="preserve">Filtrage par école</t>
  </si>
  <si>
    <t xml:space="preserve">En U-FAM1 (école M), chercher T-LUT (accespar=L)</t>
  </si>
  <si>
    <t xml:space="preserve">Session non proposée ; les sessions accespar=B restent visibles</t>
  </si>
  <si>
    <t xml:space="preserve">TRV-04</t>
  </si>
  <si>
    <t xml:space="preserve">Cloisonnement par année</t>
  </si>
  <si>
    <t xml:space="preserve">Chercher T-AN-1</t>
  </si>
  <si>
    <t xml:space="preserve">Absent de la liste courante</t>
  </si>
  <si>
    <t xml:space="preserve">TRV-05</t>
  </si>
  <si>
    <t xml:space="preserve">Inscription</t>
  </si>
  <si>
    <t xml:space="preserve">register_one/&lt;T-FUTUR&gt;, type_participant = Mr</t>
  </si>
  <si>
    <t xml:space="preserve">infos créé avec nb_participants=1, unités prévues = nb_units, redirection avec confirmation</t>
  </si>
  <si>
    <t xml:space="preserve">TRV-06</t>
  </si>
  <si>
    <t xml:space="preserve">Inscription couple</t>
  </si>
  <si>
    <t xml:space="preserve">Même session, type_participant = Both</t>
  </si>
  <si>
    <t xml:space="preserve">nb_participants = 2 (règle métier forcée côté serveur, indépendante du POST)</t>
  </si>
  <si>
    <t xml:space="preserve">TRV-07</t>
  </si>
  <si>
    <t xml:space="preserve">Session complète</t>
  </si>
  <si>
    <t xml:space="preserve">S'inscrire sur T-PLEIN</t>
  </si>
  <si>
    <t xml:space="preserve">Message TOO_MANY_PEOPLE, aucune ligne créée</t>
  </si>
  <si>
    <t xml:space="preserve">TRV-08</t>
  </si>
  <si>
    <t xml:space="preserve">Désinscription</t>
  </si>
  <si>
    <t xml:space="preserve">Se désinscrire de T-FUTUR</t>
  </si>
  <si>
    <t xml:space="preserve">Ligne infos supprimée, place recomptée, session à nouveau proposée</t>
  </si>
  <si>
    <t xml:space="preserve">TRV-09</t>
  </si>
  <si>
    <t xml:space="preserve">Double inscription</t>
  </si>
  <si>
    <t xml:space="preserve">S'inscrire deux fois à la même session</t>
  </si>
  <si>
    <t xml:space="preserve">Refus (ALREADY_REGISTERED), pas de doublon en base</t>
  </si>
  <si>
    <t xml:space="preserve">TRV-10</t>
  </si>
  <si>
    <t xml:space="preserve">Session passée</t>
  </si>
  <si>
    <t xml:space="preserve">Tenter de s'inscrire à T-PASSE</t>
  </si>
  <si>
    <t xml:space="preserve">Refus (PAST_DATE)</t>
  </si>
  <si>
    <t xml:space="preserve">TRV-11</t>
  </si>
  <si>
    <t xml:space="preserve">Concurrence sur la dernière place</t>
  </si>
  <si>
    <t xml:space="preserve">Deux navigateurs, deux familles, dernière place de T-FUTUR, valider quasi simultanément</t>
  </si>
  <si>
    <t xml:space="preserve">Une seule inscription acceptée ; l'autre reçoit TOO_MANY_PEOPLE (à défaut, ouvrir une anomalie sur le contrôle de capacité)</t>
  </si>
  <si>
    <t xml:space="preserve">TRV-12</t>
  </si>
  <si>
    <t xml:space="preserve">CRUD session</t>
  </si>
  <si>
    <t xml:space="preserve">Admwork_controller/add, edit, delete</t>
  </si>
  <si>
    <t xml:space="preserve">Création, modification et suppression conformes ; validations de champs actives</t>
  </si>
  <si>
    <t xml:space="preserve">TRV-13</t>
  </si>
  <si>
    <t xml:space="preserve">Inscription pour le compte d'une famille</t>
  </si>
  <si>
    <t xml:space="preserve">managed_one/&lt;id&gt;</t>
  </si>
  <si>
    <t xml:space="preserve">Inscription créée au nom de la famille choisie, sans notification « inscription famille » au référent</t>
  </si>
  <si>
    <t xml:space="preserve">TRV-14</t>
  </si>
  <si>
    <t xml:space="preserve">Génération PDF</t>
  </si>
  <si>
    <t xml:space="preserve">MakePdf/&lt;id_work&gt;</t>
  </si>
  <si>
    <t xml:space="preserve">PDF de la feuille de session généré, lisible, avec les inscrits et les horaires</t>
  </si>
  <si>
    <t xml:space="preserve">TRV-15</t>
  </si>
  <si>
    <t xml:space="preserve">Archivage automatique</t>
  </si>
  <si>
    <t xml:space="preserve">Positionner T-VIEUX à J-45, supprimer writable/cache/last_archive_run.txt, visiter register</t>
  </si>
  <si>
    <t xml:space="preserve">T-VIEUX passe à archived=1 ; T-URG reste actif ; le fichier de throttle est recréé</t>
  </si>
  <si>
    <t xml:space="preserve">TRV-16</t>
  </si>
  <si>
    <t xml:space="preserve">Throttle d'archivage</t>
  </si>
  <si>
    <t xml:space="preserve">Rappeler register dans la foulée</t>
  </si>
  <si>
    <t xml:space="preserve">Pas de nouveau balayage d'archivage le même jour</t>
  </si>
  <si>
    <t xml:space="preserve">TRV-17</t>
  </si>
  <si>
    <t xml:space="preserve">Filtres de la liste</t>
  </si>
  <si>
    <t xml:space="preserve">Utiliser recherche, type, date sur register</t>
  </si>
  <si>
    <t xml:space="preserve">Résultats cohérents, compteurs mis à jour, pas d'erreur si aucun résultat</t>
  </si>
  <si>
    <t xml:space="preserve">TRV-18</t>
  </si>
  <si>
    <t xml:space="preserve">Statistiques participants</t>
  </si>
  <si>
    <t xml:space="preserve">Admwork_controller/worker</t>
  </si>
  <si>
    <t xml:space="preserve">Totaux cohérents avec infos (contrôle SQL croisé)</t>
  </si>
  <si>
    <t xml:space="preserve">TRV-19</t>
  </si>
  <si>
    <t xml:space="preserve">Session sans date (URG)</t>
  </si>
  <si>
    <t xml:space="preserve">Ouvrir T-URG</t>
  </si>
  <si>
    <t xml:space="preserve">Affichage sans date, inscription possible, pas d'erreur de formatage</t>
  </si>
  <si>
    <t xml:space="preserve">REF-01</t>
  </si>
  <si>
    <t xml:space="preserve">fam réf.</t>
  </si>
  <si>
    <t xml:space="preserve">Mes sessions</t>
  </si>
  <si>
    <t xml:space="preserve">Admwork_controller/my_sessions en U-REF</t>
  </si>
  <si>
    <t xml:space="preserve">Seules les sessions dont l'utilisateur est référent sont listées</t>
  </si>
  <si>
    <t xml:space="preserve">REF-02</t>
  </si>
  <si>
    <t xml:space="preserve">Validation connectée</t>
  </si>
  <si>
    <t xml:space="preserve">validate_one/&lt;T-PASSE&gt;, cocher les présents, valider</t>
  </si>
  <si>
    <t xml:space="preserve">infos.nb_unites_valides_effectif = nb_units × nb_participants pour les présents, 0 pour les absents</t>
  </si>
  <si>
    <t xml:space="preserve">REF-03</t>
  </si>
  <si>
    <t xml:space="preserve">Non-référent</t>
  </si>
  <si>
    <t xml:space="preserve">En U-FAM1, appeler validate_one/&lt;T-PASSE&gt;</t>
  </si>
  <si>
    <t xml:space="preserve">Accès refusé, aucune donnée de validation exposée</t>
  </si>
  <si>
    <t xml:space="preserve">REF-04</t>
  </si>
  <si>
    <t xml:space="preserve">invité</t>
  </si>
  <si>
    <t xml:space="preserve">Validation par lien e-mail</t>
  </si>
  <si>
    <t xml:space="preserve">Ouvrir validate_by_token/&lt;token valide&gt; sans session</t>
  </si>
  <si>
    <t xml:space="preserve">Écran de validation accessible, limité à la session concernée</t>
  </si>
  <si>
    <t xml:space="preserve">REF-05</t>
  </si>
  <si>
    <t xml:space="preserve">Token invalide</t>
  </si>
  <si>
    <t xml:space="preserve">Token inexistant ou altéré d'un caractère</t>
  </si>
  <si>
    <t xml:space="preserve">Page d'erreur Admwork_controller_token_error, aucune donnée affichée</t>
  </si>
  <si>
    <t xml:space="preserve">REF-06</t>
  </si>
  <si>
    <t xml:space="preserve">Token expiré</t>
  </si>
  <si>
    <t xml:space="preserve">Forcer expires_at dans le passé</t>
  </si>
  <si>
    <t xml:space="preserve">Refus explicite</t>
  </si>
  <si>
    <t xml:space="preserve">REF-07</t>
  </si>
  <si>
    <t xml:space="preserve">Token déjà utilisé</t>
  </si>
  <si>
    <t xml:space="preserve">Rejouer un token dont used_at est renseigné</t>
  </si>
  <si>
    <t xml:space="preserve">Refus (ou lecture seule) ; aucune double validation d'unités</t>
  </si>
  <si>
    <t xml:space="preserve">REF-08</t>
  </si>
  <si>
    <t xml:space="preserve">Ajout d'un participant</t>
  </si>
  <si>
    <t xml:space="preserve">Depuis l'écran référent, ajouter une famille présente non inscrite</t>
  </si>
  <si>
    <t xml:space="preserve">infos créé, capacité maximale respectée</t>
  </si>
  <si>
    <t xml:space="preserve">REF-09</t>
  </si>
  <si>
    <t xml:space="preserve">Retrait d'un participant</t>
  </si>
  <si>
    <t xml:space="preserve">Retirer une famille inscrite mais absente</t>
  </si>
  <si>
    <t xml:space="preserve">Ligne supprimée ou unités mises à 0, cohérent avec la règle métier</t>
  </si>
  <si>
    <t xml:space="preserve">REF-10</t>
  </si>
  <si>
    <t xml:space="preserve">Cloisonnement du token</t>
  </si>
  <si>
    <t xml:space="preserve">Depuis un token de la session A, tenter d'agir sur la session B (id forcé dans le POST)</t>
  </si>
  <si>
    <t xml:space="preserve">Action refusée</t>
  </si>
  <si>
    <t xml:space="preserve">REF-11</t>
  </si>
  <si>
    <t xml:space="preserve">Idempotence</t>
  </si>
  <si>
    <t xml:space="preserve">Valider deux fois de suite la même session</t>
  </si>
  <si>
    <t xml:space="preserve">Les unités ne sont pas doublées</t>
  </si>
  <si>
    <t xml:space="preserve">CAN-01</t>
  </si>
  <si>
    <t xml:space="preserve">Paramétrage</t>
  </si>
  <si>
    <t xml:space="preserve">Cantine_controller/config : jours actifs, nb_slots, école, nb_units, puis save_config</t>
  </si>
  <si>
    <t xml:space="preserve">Configuration enregistrée et relue à l'identique</t>
  </si>
  <si>
    <t xml:space="preserve">CAN-02</t>
  </si>
  <si>
    <t xml:space="preserve">Génération des créneaux</t>
  </si>
  <si>
    <t xml:space="preserve">generate sur une période donnée</t>
  </si>
  <si>
    <t xml:space="preserve">Une ligne travaux type=can par jour actif ; pas de doublon si on relance sur la même période</t>
  </si>
  <si>
    <t xml:space="preserve">CAN-03</t>
  </si>
  <si>
    <t xml:space="preserve">Agenda hebdomadaire</t>
  </si>
  <si>
    <t xml:space="preserve">register/0, puis register/1 et register/-1</t>
  </si>
  <si>
    <t xml:space="preserve">Grille lundi-vendredi, navigation semaine suivante / précédente cohérente, dates en français</t>
  </si>
  <si>
    <t xml:space="preserve">CAN-04</t>
  </si>
  <si>
    <t xml:space="preserve">Inscription à un créneau</t>
  </si>
  <si>
    <t xml:space="preserve">register_one/&lt;T-CAN&gt;</t>
  </si>
  <si>
    <t xml:space="preserve">Inscription enregistrée, retour sur la semaine du créneau (bon week_offset)</t>
  </si>
  <si>
    <t xml:space="preserve">CAN-05</t>
  </si>
  <si>
    <t xml:space="preserve">Créneau complet</t>
  </si>
  <si>
    <t xml:space="preserve">S'inscrire sur un créneau saturé</t>
  </si>
  <si>
    <t xml:space="preserve">Message SESSION_FULL en flash, aucune inscription</t>
  </si>
  <si>
    <t xml:space="preserve">CAN-06</t>
  </si>
  <si>
    <t xml:space="preserve">Créneau passé</t>
  </si>
  <si>
    <t xml:space="preserve">S'inscrire sur un jour antérieur à aujourd'hui</t>
  </si>
  <si>
    <t xml:space="preserve">Refus PAST_DATE</t>
  </si>
  <si>
    <t xml:space="preserve">CAN-07</t>
  </si>
  <si>
    <t xml:space="preserve">unregister_one/&lt;T-CAN&gt; avant validation</t>
  </si>
  <si>
    <t xml:space="preserve">Inscription supprimée</t>
  </si>
  <si>
    <t xml:space="preserve">CAN-08</t>
  </si>
  <si>
    <t xml:space="preserve">Désinscription après validation</t>
  </si>
  <si>
    <t xml:space="preserve">Positionner nb_unites_valides_effectif &gt; 0 puis se désinscrire</t>
  </si>
  <si>
    <t xml:space="preserve">Refus ALREADY_VALIDATED, message affiché, ligne conservée</t>
  </si>
  <si>
    <t xml:space="preserve">CAN-09</t>
  </si>
  <si>
    <t xml:space="preserve">Accès admin à l'agenda</t>
  </si>
  <si>
    <t xml:space="preserve">register en sys</t>
  </si>
  <si>
    <t xml:space="preserve">Vue accessible en lecture ; les actions d'inscription réservées aux familles sont neutralisées</t>
  </si>
  <si>
    <t xml:space="preserve">CAN-10</t>
  </si>
  <si>
    <t xml:space="preserve">Filtre par école</t>
  </si>
  <si>
    <t xml:space="preserve">Famille école L sur une config école M</t>
  </si>
  <si>
    <t xml:space="preserve">Créneaux non proposés</t>
  </si>
  <si>
    <t xml:space="preserve">CAN-11</t>
  </si>
  <si>
    <t xml:space="preserve">Fin d'année scolaire</t>
  </si>
  <si>
    <t xml:space="preserve">Naviguer au-delà de la fin de l'année civile configurée</t>
  </si>
  <si>
    <t xml:space="preserve">Pas de créneau au-delà, pas d'erreur de date</t>
  </si>
  <si>
    <t xml:space="preserve">UNI-01</t>
  </si>
  <si>
    <t xml:space="preserve">Écran de validation</t>
  </si>
  <si>
    <t xml:space="preserve">Units_controller/valid</t>
  </si>
  <si>
    <t xml:space="preserve">Une carte par session (y compris pour les sessions de type « Action » — régression corrigée), en-tête avec date, titre, type, référent, unités, inscrits</t>
  </si>
  <si>
    <t xml:space="preserve">UNI-02</t>
  </si>
  <si>
    <t xml:space="preserve">Validation en lot</t>
  </si>
  <si>
    <t xml:space="preserve">Cocher plusieurs lignes → valids → confirmer</t>
  </si>
  <si>
    <t xml:space="preserve">nb_unites_valides_effectif mis à jour uniquement pour les lignes cochées</t>
  </si>
  <si>
    <t xml:space="preserve">UNI-03</t>
  </si>
  <si>
    <t xml:space="preserve">Cases masquées décochées</t>
  </si>
  <si>
    <t xml:space="preserve">Cocher une ligne, appliquer un filtre qui la masque, valider</t>
  </si>
  <si>
    <t xml:space="preserve">La ligne masquée n'est pas soumise</t>
  </si>
  <si>
    <t xml:space="preserve">UNI-04</t>
  </si>
  <si>
    <t xml:space="preserve">Filtres rapides</t>
  </si>
  <si>
    <t xml:space="preserve">Recherche libre, filtre date, filtre famille, filtre type, réinitialisation</t>
  </si>
  <si>
    <t xml:space="preserve">Filtrage client immédiat, compteurs (sessions visibles / unités totales / unités sélectionnées) recalculés</t>
  </si>
  <si>
    <t xml:space="preserve">UNI-05</t>
  </si>
  <si>
    <t xml:space="preserve">Persistance des filtres</t>
  </si>
  <si>
    <t xml:space="preserve">Filtrer, aller sur valids, revenir sur valid</t>
  </si>
  <si>
    <t xml:space="preserve">Filtres restaurés depuis localStorage (uv_filters_v1)</t>
  </si>
  <si>
    <t xml:space="preserve">UNI-06</t>
  </si>
  <si>
    <t xml:space="preserve">Tout cocher tri-state</t>
  </si>
  <si>
    <t xml:space="preserve">Cocher partiellement une carte</t>
  </si>
  <si>
    <t xml:space="preserve">La case « tout cocher » passe en état indéterminé ; elle ignore les lignes masquées</t>
  </si>
  <si>
    <t xml:space="preserve">UNI-07</t>
  </si>
  <si>
    <t xml:space="preserve">Barre d'action sticky</t>
  </si>
  <si>
    <t xml:space="preserve">Aucune ligne cochée</t>
  </si>
  <si>
    <t xml:space="preserve">Bouton « Valider » désactivé ; il s'active dès la première case cochée</t>
  </si>
  <si>
    <t xml:space="preserve">UNI-08</t>
  </si>
  <si>
    <t xml:space="preserve">Lien « Ouvrir »</t>
  </si>
  <si>
    <t xml:space="preserve">Cliquer sur le lien d'une carte</t>
  </si>
  <si>
    <t xml:space="preserve">Ouverture de Admwork_controller/register_one/&lt;id&gt; de la bonne session</t>
  </si>
  <si>
    <t xml:space="preserve">UNI-09</t>
  </si>
  <si>
    <t xml:space="preserve">Unités complémentaires</t>
  </si>
  <si>
    <t xml:space="preserve">Units_controller/list : ajouter une unité hors session avec commentaire</t>
  </si>
  <si>
    <t xml:space="preserve">Ligne unites créée, prise en compte dans le total de la famille</t>
  </si>
  <si>
    <t xml:space="preserve">UNI-10</t>
  </si>
  <si>
    <t xml:space="preserve">sys/fam</t>
  </si>
  <si>
    <t xml:space="preserve">Total consolidé</t>
  </si>
  <si>
    <t xml:space="preserve">Comparer le total affiché en Familys_controller/histo à la somme SQL infos + unites</t>
  </si>
  <si>
    <t xml:space="preserve">Écart nul</t>
  </si>
  <si>
    <t xml:space="preserve">UNI-11</t>
  </si>
  <si>
    <t xml:space="preserve">Seuil d'unités attendues</t>
  </si>
  <si>
    <t xml:space="preserve">Famille à moins de unit_todo (20) unités puis au-dessus</t>
  </si>
  <si>
    <t xml:space="preserve">Indicateur visuel cohérent de part et d'autre du seuil</t>
  </si>
  <si>
    <t xml:space="preserve">UNI-12</t>
  </si>
  <si>
    <t xml:space="preserve">Liste vide</t>
  </si>
  <si>
    <t xml:space="preserve">Filtrer sans résultat</t>
  </si>
  <si>
    <t xml:space="preserve">Message explicite, pas de tableau vide brut ni d'erreur JS</t>
  </si>
  <si>
    <t xml:space="preserve">FAM-01</t>
  </si>
  <si>
    <t xml:space="preserve">Mon historique</t>
  </si>
  <si>
    <t xml:space="preserve">Familys_controller/histo</t>
  </si>
  <si>
    <t xml:space="preserve">Unités validées, unités restantes, sessions à venir de la famille connectée uniquement</t>
  </si>
  <si>
    <t xml:space="preserve">FAM-02</t>
  </si>
  <si>
    <t xml:space="preserve">Historique d'une famille</t>
  </si>
  <si>
    <t xml:space="preserve">histo en sys puis sélection d'une famille</t>
  </si>
  <si>
    <t xml:space="preserve">Données de la famille choisie, changement de famille possible</t>
  </si>
  <si>
    <t xml:space="preserve">FAM-03</t>
  </si>
  <si>
    <t xml:space="preserve">CRUD famille</t>
  </si>
  <si>
    <t xml:space="preserve">list / add / edit / delete</t>
  </si>
  <si>
    <t xml:space="preserve">Validations actives (email, champs requis), suppression avec confirmation</t>
  </si>
  <si>
    <t xml:space="preserve">FAM-04</t>
  </si>
  <si>
    <t xml:space="preserve">E-mails complémentaires</t>
  </si>
  <si>
    <t xml:space="preserve">Ajouter deux e-mails secondaires à une famille</t>
  </si>
  <si>
    <t xml:space="preserve">Lignes emails liées à id_fam, restituées à l'édition</t>
  </si>
  <si>
    <t xml:space="preserve">FAM-05</t>
  </si>
  <si>
    <t xml:space="preserve">Compétences</t>
  </si>
  <si>
    <t xml:space="preserve">skills : filtrer par compétence</t>
  </si>
  <si>
    <t xml:space="preserve">Seules les familles portant la compétence apparaissent</t>
  </si>
  <si>
    <t xml:space="preserve">FAM-06</t>
  </si>
  <si>
    <t xml:space="preserve">Statistiques</t>
  </si>
  <si>
    <t xml:space="preserve">stats</t>
  </si>
  <si>
    <t xml:space="preserve">Totaux par famille cohérents avec le contrôle SQL</t>
  </si>
  <si>
    <t xml:space="preserve">FAM-07</t>
  </si>
  <si>
    <t xml:space="preserve">Export des statistiques</t>
  </si>
  <si>
    <t xml:space="preserve">stats_export</t>
  </si>
  <si>
    <t xml:space="preserve">Fichier téléchargé, séparateur et encodage corrects, accents non altérés à l'ouverture dans Excel/LibreOffice</t>
  </si>
  <si>
    <t xml:space="preserve">FAM-08</t>
  </si>
  <si>
    <t xml:space="preserve">Mise à jour en masse</t>
  </si>
  <si>
    <t xml:space="preserve">MassUpdate sur une sélection</t>
  </si>
  <si>
    <t xml:space="preserve">Seules les familles sélectionnées sont modifiées ; contrôle SQL avant/après</t>
  </si>
  <si>
    <t xml:space="preserve">FAM-09</t>
  </si>
  <si>
    <t xml:space="preserve">Chèques de caution</t>
  </si>
  <si>
    <t xml:space="preserve">check/&lt;id_fam&gt;</t>
  </si>
  <si>
    <t xml:space="preserve">Saisie et consultation du statut du chèque</t>
  </si>
  <si>
    <t xml:space="preserve">FAM-10</t>
  </si>
  <si>
    <t xml:space="preserve">Détail des unités</t>
  </si>
  <si>
    <t xml:space="preserve">units/&lt;id_fam&gt;</t>
  </si>
  <si>
    <t xml:space="preserve">Détail ligne à ligne, total identique à histo</t>
  </si>
  <si>
    <t xml:space="preserve">FAM-11</t>
  </si>
  <si>
    <t xml:space="preserve">Préférences d'alerte</t>
  </si>
  <si>
    <t xml:space="preserve">Home/myaccount : activer/désactiver un type d'alerte</t>
  </si>
  <si>
    <t xml:space="preserve">Enregistré dans alert_pref, respecté par les notifications ([§ 15.6.10](#15610-mai--e-mails-et-notifications))</t>
  </si>
  <si>
    <t xml:space="preserve">FAM-12</t>
  </si>
  <si>
    <t xml:space="preserve">Volumétrie</t>
  </si>
  <si>
    <t xml:space="preserve">Liste avec &gt; 300 familles</t>
  </si>
  <si>
    <t xml:space="preserve">Pagination fonctionnelle, temps de réponse &lt; 3 s</t>
  </si>
  <si>
    <t xml:space="preserve">IMP-01</t>
  </si>
  <si>
    <t xml:space="preserve">Import valide — prévisualisation</t>
  </si>
  <si>
    <t xml:space="preserve">Familys_controller/import avec CSV-OK</t>
  </si>
  <si>
    <t xml:space="preserve">Écran de différentiel : créations, modifications, membres ajoutés/retirés, aucune écriture en base à ce stade</t>
  </si>
  <si>
    <t xml:space="preserve">IMP-02</t>
  </si>
  <si>
    <t xml:space="preserve">Application de l'import</t>
  </si>
  <si>
    <t xml:space="preserve">import_apply après prévisualisation</t>
  </si>
  <si>
    <t xml:space="preserve">Base conforme au différentiel affiché, ni plus ni moins</t>
  </si>
  <si>
    <t xml:space="preserve">IMP-03</t>
  </si>
  <si>
    <t xml:space="preserve">Fichier invalide</t>
  </si>
  <si>
    <t xml:space="preserve">Importer CSV-KO</t>
  </si>
  <si>
    <t xml:space="preserve">Erreur explicite, aucune modification en base</t>
  </si>
  <si>
    <t xml:space="preserve">IMP-04</t>
  </si>
  <si>
    <t xml:space="preserve">Réimporter CSV-OK immédiatement après IMP-02</t>
  </si>
  <si>
    <t xml:space="preserve">Différentiel vide, aucun doublon de famille ni de membre</t>
  </si>
  <si>
    <t xml:space="preserve">IMP-05</t>
  </si>
  <si>
    <t xml:space="preserve">Normalisation</t>
  </si>
  <si>
    <t xml:space="preserve">Fichier avec e-mails en majuscules, espaces parasites, écoles en libellé long</t>
  </si>
  <si>
    <t xml:space="preserve">E-mails normalisés en minuscules, valeurs nettoyées, école mappée sur M/L/B</t>
  </si>
  <si>
    <t xml:space="preserve">IMP-06</t>
  </si>
  <si>
    <t xml:space="preserve">Historique</t>
  </si>
  <si>
    <t xml:space="preserve">import_history</t>
  </si>
  <si>
    <t xml:space="preserve">Historique des imports avec date, opérateur et volumétrie</t>
  </si>
  <si>
    <t xml:space="preserve">IMP-07</t>
  </si>
  <si>
    <t xml:space="preserve">Encodage</t>
  </si>
  <si>
    <t xml:space="preserve">Fichier en ISO-8859-1 et fichier en UTF-8 avec BOM</t>
  </si>
  <si>
    <t xml:space="preserve">Accents corrects en base dans les deux cas (ou refus explicite si un encodage n'est pas supporté)</t>
  </si>
  <si>
    <t xml:space="preserve">IMP-08</t>
  </si>
  <si>
    <t xml:space="preserve">Fichier non CSV</t>
  </si>
  <si>
    <t xml:space="preserve">Téléverser un .exe renommé en .csv, puis un fichier de 20 Mo</t>
  </si>
  <si>
    <t xml:space="preserve">Rejet propre, pas de fichier conservé sur le serveur</t>
  </si>
  <si>
    <t xml:space="preserve">IMP-09</t>
  </si>
  <si>
    <t xml:space="preserve">Préservation des données locales</t>
  </si>
  <si>
    <t xml:space="preserve">Importer un CSV pour une famille ayant des unités et des inscriptions</t>
  </si>
  <si>
    <t xml:space="preserve">Unités, inscriptions et mot de passe locaux non écrasés</t>
  </si>
  <si>
    <t xml:space="preserve">ORG-01</t>
  </si>
  <si>
    <t xml:space="preserve">Vue publique</t>
  </si>
  <si>
    <t xml:space="preserve">Orgchart_controller/orga</t>
  </si>
  <si>
    <t xml:space="preserve">Commissions et membres affichés, photos ou image de remplacement si absente</t>
  </si>
  <si>
    <t xml:space="preserve">ORG-02</t>
  </si>
  <si>
    <t xml:space="preserve">Organisation</t>
  </si>
  <si>
    <t xml:space="preserve">organisation</t>
  </si>
  <si>
    <t xml:space="preserve">Vue structurelle correcte, classifications (RT, ME, BU, PE, VP) respectées</t>
  </si>
  <si>
    <t xml:space="preserve">ORG-03</t>
  </si>
  <si>
    <t xml:space="preserve">CRUD commission</t>
  </si>
  <si>
    <t xml:space="preserve">CRUD conforme, aucun membre orphelin après suppression</t>
  </si>
  <si>
    <t xml:space="preserve">ORG-04</t>
  </si>
  <si>
    <t xml:space="preserve">Mise en avant</t>
  </si>
  <si>
    <t xml:space="preserve">featured/&lt;id&gt;</t>
  </si>
  <si>
    <t xml:space="preserve">La commission remonte en tête, une seule mise en avant à la fois (ou comportement documenté)</t>
  </si>
  <si>
    <t xml:space="preserve">ORG-05</t>
  </si>
  <si>
    <t xml:space="preserve">Membres</t>
  </si>
  <si>
    <t xml:space="preserve">GroupesMembers_controller : créer un membre relié à une famille</t>
  </si>
  <si>
    <t xml:space="preserve">Chaîne trombi → groupes_member → famille cohérente (test croisé avec REF-01)</t>
  </si>
  <si>
    <t xml:space="preserve">ORG-06</t>
  </si>
  <si>
    <t xml:space="preserve">Candidature</t>
  </si>
  <si>
    <t xml:space="preserve">Déposer une candidature à G-COM</t>
  </si>
  <si>
    <t xml:space="preserve">Ligne candidatures créée, notification au responsable ([§ 15.6.10](#15610-mai--e-mails-et-notifications))</t>
  </si>
  <si>
    <t xml:space="preserve">ORG-07</t>
  </si>
  <si>
    <t xml:space="preserve">Traitement d'une candidature</t>
  </si>
  <si>
    <t xml:space="preserve">Candidatures_controller : accepter puis refuser</t>
  </si>
  <si>
    <t xml:space="preserve">Statut mis à jour, membre ajouté à la commission si accepté</t>
  </si>
  <si>
    <t xml:space="preserve">ORG-08</t>
  </si>
  <si>
    <t xml:space="preserve">Chaîne référent incohérente</t>
  </si>
  <si>
    <t xml:space="preserve">Mettre un groupes_member.id_fam non numérique</t>
  </si>
  <si>
    <t xml:space="preserve">Aucune ligne remontée, pas d'erreur SQL (conversion implicite documentée)</t>
  </si>
  <si>
    <t xml:space="preserve">ORG-09</t>
  </si>
  <si>
    <t xml:space="preserve">Détail d'un membre</t>
  </si>
  <si>
    <t xml:space="preserve">view_one/&lt;id&gt;</t>
  </si>
  <si>
    <t xml:space="preserve">Fiche complète, données personnelles non exposées aux invités</t>
  </si>
  <si>
    <t xml:space="preserve">MAI-01</t>
  </si>
  <si>
    <t xml:space="preserve">Notification d'inscription</t>
  </si>
  <si>
    <t xml:space="preserve">S'inscrire à T-FUTUR en tant que famille</t>
  </si>
  <si>
    <t xml:space="preserve">Ligne sendmail statut=0 adressée au référent, objet et corps renseignés</t>
  </si>
  <si>
    <t xml:space="preserve">MAI-02</t>
  </si>
  <si>
    <t xml:space="preserve">Pas de notification en saisie admin</t>
  </si>
  <si>
    <t xml:space="preserve">Inscrire une famille via managed_one</t>
  </si>
  <si>
    <t xml:space="preserve">Aucune notification d'inscription famille générée</t>
  </si>
  <si>
    <t xml:space="preserve">MAI-03</t>
  </si>
  <si>
    <t xml:space="preserve">Notification de désinscription</t>
  </si>
  <si>
    <t xml:space="preserve">Se désinscrire</t>
  </si>
  <si>
    <t xml:space="preserve">Notification correspondante en file</t>
  </si>
  <si>
    <t xml:space="preserve">MAI-04</t>
  </si>
  <si>
    <t xml:space="preserve">Notification cantine</t>
  </si>
  <si>
    <t xml:space="preserve">S'inscrire puis se désinscrire d'un créneau cantine</t>
  </si>
  <si>
    <t xml:space="preserve">Notifications cohérentes avec le type de session</t>
  </si>
  <si>
    <t xml:space="preserve">MAI-05</t>
  </si>
  <si>
    <t xml:space="preserve">Notification de candidature</t>
  </si>
  <si>
    <t xml:space="preserve">Déposer une candidature</t>
  </si>
  <si>
    <t xml:space="preserve">Notification au responsable de commission</t>
  </si>
  <si>
    <t xml:space="preserve">MAI-06</t>
  </si>
  <si>
    <t xml:space="preserve">Destinataire sans e-mail</t>
  </si>
  <si>
    <t xml:space="preserve">Référent sans adresse valide</t>
  </si>
  <si>
    <t xml:space="preserve">Erreur tracée (fallback), pas d'exception, le reste du traitement se poursuit</t>
  </si>
  <si>
    <t xml:space="preserve">MAI-07</t>
  </si>
  <si>
    <t xml:space="preserve">Respect des préférences</t>
  </si>
  <si>
    <t xml:space="preserve">Désactiver un type d'alerte puis déclencher l'évènement</t>
  </si>
  <si>
    <t xml:space="preserve">Aucun mail de ce type n'est mis en file</t>
  </si>
  <si>
    <t xml:space="preserve">MAI-08</t>
  </si>
  <si>
    <t xml:space="preserve">File d'envoi</t>
  </si>
  <si>
    <t xml:space="preserve">Sendmail_controller/list</t>
  </si>
  <si>
    <t xml:space="preserve">Liste, filtres et statuts (0 en attente / 1 envoyé / 2 erreur) lisibles</t>
  </si>
  <si>
    <t xml:space="preserve">MAI-09</t>
  </si>
  <si>
    <t xml:space="preserve">Modèles de message</t>
  </si>
  <si>
    <t xml:space="preserve">Templates_controller : modifier un modèle, déclencher l'évènement associé</t>
  </si>
  <si>
    <t xml:space="preserve">Le contenu du mail reflète le modèle, variables substituées</t>
  </si>
  <si>
    <t xml:space="preserve">MAI-10</t>
  </si>
  <si>
    <t xml:space="preserve">Rendu HTML</t>
  </si>
  <si>
    <t xml:space="preserve">Ouvrir un mail capturé</t>
  </si>
  <si>
    <t xml:space="preserve">HTML correct sur client bureau et webmail, liens absolus et cliquables</t>
  </si>
  <si>
    <t xml:space="preserve">MAI-11</t>
  </si>
  <si>
    <t xml:space="preserve">Sécurité des liens de validation</t>
  </si>
  <si>
    <t xml:space="preserve">Inspecter le lien référent envoyé</t>
  </si>
  <si>
    <t xml:space="preserve">URL en HTTPS, token de 64 caractères hexadécimaux, non devinable</t>
  </si>
  <si>
    <t xml:space="preserve">CRO-01</t>
  </si>
  <si>
    <t xml:space="preserve">Envoi de la file</t>
  </si>
  <si>
    <t xml:space="preserve">php spark cron:sendmail 10 avec 3 mails en attente</t>
  </si>
  <si>
    <t xml:space="preserve">3 mails partis, statut=1, log en sendmail_statut</t>
  </si>
  <si>
    <t xml:space="preserve">CRO-02</t>
  </si>
  <si>
    <t xml:space="preserve">Gestion d'erreur SMTP</t>
  </si>
  <si>
    <t xml:space="preserve">Config SMTP volontairement fausse</t>
  </si>
  <si>
    <t xml:space="preserve">statut=2, message d'erreur enregistré, pas d'interruption du lot</t>
  </si>
  <si>
    <t xml:space="preserve">CRO-03</t>
  </si>
  <si>
    <t xml:space="preserve">Taille du lot</t>
  </si>
  <si>
    <t xml:space="preserve">cron sendmail 2 avec 5 mails en attente</t>
  </si>
  <si>
    <t xml:space="preserve">Exactement 2 traités</t>
  </si>
  <si>
    <t xml:space="preserve">CRO-04</t>
  </si>
  <si>
    <t xml:space="preserve">Verrou d'exécution</t>
  </si>
  <si>
    <t xml:space="preserve">Lancer deux exécutions simultanées</t>
  </si>
  <si>
    <t xml:space="preserve">La seconde s'arrête immédiatement (« Un autre processus est déjà en cours », code retour 1)</t>
  </si>
  <si>
    <t xml:space="preserve">CRO-05</t>
  </si>
  <si>
    <t xml:space="preserve">Verrou résiduel</t>
  </si>
  <si>
    <t xml:space="preserve">Tuer (kill -9) une exécution en cours, puis relancer</t>
  </si>
  <si>
    <t xml:space="preserve">Le verrou flock (writable/cron.lock) est libéré par le système : la relance fonctionne</t>
  </si>
  <si>
    <t xml:space="preserve">CRO-06</t>
  </si>
  <si>
    <t xml:space="preserve">Mails de validation référent</t>
  </si>
  <si>
    <t xml:space="preserve">php spark cron:ref-validation 7 avec une session à J+5</t>
  </si>
  <si>
    <t xml:space="preserve">Token créé (expiration J+30), mail poussé en file, travaux.ref_mail_sent_at renseigné</t>
  </si>
  <si>
    <t xml:space="preserve">CRO-07</t>
  </si>
  <si>
    <t xml:space="preserve">Non-duplication</t>
  </si>
  <si>
    <t xml:space="preserve">Relancer immédiatement CRO-06</t>
  </si>
  <si>
    <t xml:space="preserve">Aucun nouveau token ni mail pour la même session</t>
  </si>
  <si>
    <t xml:space="preserve">CRO-08</t>
  </si>
  <si>
    <t xml:space="preserve">Référent introuvable</t>
  </si>
  <si>
    <t xml:space="preserve">Session sans référent ou chaîne trombi cassée</t>
  </si>
  <si>
    <t xml:space="preserve">Session ignorée sans erreur, trace en log</t>
  </si>
  <si>
    <t xml:space="preserve">CRO-09</t>
  </si>
  <si>
    <t xml:space="preserve">Alertes nouvelles sessions</t>
  </si>
  <si>
    <t xml:space="preserve">php spark cron:session-alerts</t>
  </si>
  <si>
    <t xml:space="preserve">Familles concernées notifiées, filtrage par école et préférences respecté</t>
  </si>
  <si>
    <t xml:space="preserve">CRO-10</t>
  </si>
  <si>
    <t xml:space="preserve">Exécution web impossible</t>
  </si>
  <si>
    <t xml:space="preserve">Appeler /cron/sendmail via le navigateur</t>
  </si>
  <si>
    <t xml:space="preserve">Page introuvable (404) : les tâches ne sont plus exposées en HTTP</t>
  </si>
  <si>
    <t xml:space="preserve">CRO-11</t>
  </si>
  <si>
    <t xml:space="preserve">500 mails en file, lots successifs</t>
  </si>
  <si>
    <t xml:space="preserve">Pas de fuite mémoire ni de timeout ; durée mesurée et notée</t>
  </si>
  <si>
    <t xml:space="preserve">API-01</t>
  </si>
  <si>
    <t xml:space="preserve">Connexion</t>
  </si>
  <si>
    <t xml:space="preserve">POST /api/login avec identifiants + api-key valides</t>
  </si>
  <si>
    <t xml:space="preserve">200 + JWT, expireAt, type, role_id</t>
  </si>
  <si>
    <t xml:space="preserve">API-02</t>
  </si>
  <si>
    <t xml:space="preserve">Clé d'API invalide</t>
  </si>
  <si>
    <t xml:space="preserve">Même appel avec une mauvaise api-key</t>
  </si>
  <si>
    <t xml:space="preserve">403, pas de JWT</t>
  </si>
  <si>
    <t xml:space="preserve">API-03</t>
  </si>
  <si>
    <t xml:space="preserve">Identifiants invalides</t>
  </si>
  <si>
    <t xml:space="preserve">401/403 selon le contrat, message générique</t>
  </si>
  <si>
    <t xml:space="preserve">API-04</t>
  </si>
  <si>
    <t xml:space="preserve">Appel sans jeton</t>
  </si>
  <si>
    <t xml:space="preserve">GET /api/mails sans Authorization</t>
  </si>
  <si>
    <t xml:space="preserve">401/403, aucune donnée</t>
  </si>
  <si>
    <t xml:space="preserve">API-05</t>
  </si>
  <si>
    <t xml:space="preserve">Jeton altéré</t>
  </si>
  <si>
    <t xml:space="preserve">Modifier un caractère de la signature JWT</t>
  </si>
  <si>
    <t xml:space="preserve">Refus</t>
  </si>
  <si>
    <t xml:space="preserve">API-06</t>
  </si>
  <si>
    <t xml:space="preserve">Jeton expiré</t>
  </si>
  <si>
    <t xml:space="preserve">Utiliser un JWT dont expireAt est dépassé</t>
  </si>
  <si>
    <t xml:space="preserve">API-07</t>
  </si>
  <si>
    <t xml:space="preserve">Création</t>
  </si>
  <si>
    <t xml:space="preserve">POST /api/mails avec reference, email, object, message</t>
  </si>
  <si>
    <t xml:space="preserve">201 + { "id": n }, ligne statut=0 en base</t>
  </si>
  <si>
    <t xml:space="preserve">API-08</t>
  </si>
  <si>
    <t xml:space="preserve">Lecture</t>
  </si>
  <si>
    <t xml:space="preserve">GET /api/mails puis GET /api/mails/&lt;id&gt;</t>
  </si>
  <si>
    <t xml:space="preserve">200 + JSON conforme</t>
  </si>
  <si>
    <t xml:space="preserve">API-09</t>
  </si>
  <si>
    <t xml:space="preserve">Mise à jour</t>
  </si>
  <si>
    <t xml:space="preserve">PUT /api/mails/&lt;id&gt;</t>
  </si>
  <si>
    <t xml:space="preserve">202, données modifiées</t>
  </si>
  <si>
    <t xml:space="preserve">API-10</t>
  </si>
  <si>
    <t xml:space="preserve">Suppression</t>
  </si>
  <si>
    <t xml:space="preserve">DELETE /api/mails/&lt;id&gt;</t>
  </si>
  <si>
    <t xml:space="preserve">200, ligne supprimée</t>
  </si>
  <si>
    <t xml:space="preserve">API-11</t>
  </si>
  <si>
    <t xml:space="preserve">Validation</t>
  </si>
  <si>
    <t xml:space="preserve">POST sans email ou avec un e-mail invalide</t>
  </si>
  <si>
    <t xml:space="preserve">400, aucune création</t>
  </si>
  <si>
    <t xml:space="preserve">API-12</t>
  </si>
  <si>
    <t xml:space="preserve">Identifiant inexistant</t>
  </si>
  <si>
    <t xml:space="preserve">GET /api/mails/999999</t>
  </si>
  <si>
    <t xml:space="preserve">400/404 selon le contrat, pas de trace PHP</t>
  </si>
  <si>
    <t xml:space="preserve">API-13</t>
  </si>
  <si>
    <t xml:space="preserve">Verbe non supporté</t>
  </si>
  <si>
    <t xml:space="preserve">PATCH /api/mails/&lt;id&gt;</t>
  </si>
  <si>
    <t xml:space="preserve">Refus propre</t>
  </si>
  <si>
    <t xml:space="preserve">API-14</t>
  </si>
  <si>
    <t xml:space="preserve">Pré-vol CORS</t>
  </si>
  <si>
    <t xml:space="preserve">OPTIONS /api/mails</t>
  </si>
  <si>
    <t xml:space="preserve">En-têtes attendus, 200/204</t>
  </si>
  <si>
    <t xml:space="preserve">API-15</t>
  </si>
  <si>
    <t xml:space="preserve">Injection</t>
  </si>
  <si>
    <t xml:space="preserve">id = 1 OR 1=1 et charge SQL dans les champs</t>
  </si>
  <si>
    <t xml:space="preserve">Aucune fuite, aucune erreur SQL renvoyée au client</t>
  </si>
  <si>
    <t xml:space="preserve">API-16</t>
  </si>
  <si>
    <t xml:space="preserve">POST /api/logout puis réutiliser le JWT</t>
  </si>
  <si>
    <t xml:space="preserve">Comportement documenté (JWT stateless : préciser si le jeton reste valide jusqu'à expiration)</t>
  </si>
  <si>
    <t xml:space="preserve">BOF-01</t>
  </si>
  <si>
    <t xml:space="preserve">Liste</t>
  </si>
  <si>
    <t xml:space="preserve">Ouvrir list sur chaque contrôleur</t>
  </si>
  <si>
    <t xml:space="preserve">Colonnes conformes au schéma JSON (list: true), tri et pagination opérationnels</t>
  </si>
  <si>
    <t xml:space="preserve">BOF-02</t>
  </si>
  <si>
    <t xml:space="preserve">Recherche</t>
  </si>
  <si>
    <t xml:space="preserve">Rechercher sur un champ search: true</t>
  </si>
  <si>
    <t xml:space="preserve">Résultats filtrés ; caractère %, apostrophe et accents sans erreur</t>
  </si>
  <si>
    <t xml:space="preserve">BOF-03</t>
  </si>
  <si>
    <t xml:space="preserve">Réinitialisation des filtres</t>
  </si>
  <si>
    <t xml:space="preserve">clear_filters</t>
  </si>
  <si>
    <t xml:space="preserve">Retour à la liste complète</t>
  </si>
  <si>
    <t xml:space="preserve">BOF-04</t>
  </si>
  <si>
    <t xml:space="preserve">add avec champs obligatoires vides puis complets</t>
  </si>
  <si>
    <t xml:space="preserve">Messages de validation français, puis création effective</t>
  </si>
  <si>
    <t xml:space="preserve">BOF-05</t>
  </si>
  <si>
    <t xml:space="preserve">Édition</t>
  </si>
  <si>
    <t xml:space="preserve">edit/&lt;id&gt;</t>
  </si>
  <si>
    <t xml:space="preserve">Formulaire prérempli, y compris select_database, typeahead, memo, checkbox, tables liées</t>
  </si>
  <si>
    <t xml:space="preserve">BOF-06</t>
  </si>
  <si>
    <t xml:space="preserve">delete/&lt;id&gt;</t>
  </si>
  <si>
    <t xml:space="preserve">Confirmation demandée, suppression effective</t>
  </si>
  <si>
    <t xml:space="preserve">BOF-07</t>
  </si>
  <si>
    <t xml:space="preserve">Actions en lot</t>
  </si>
  <si>
    <t xml:space="preserve">bulk avec delete sur plusieurs éléments</t>
  </si>
  <si>
    <t xml:space="preserve">Seuls les éléments sélectionnés sont supprimés ; action inconnue refusée</t>
  </si>
  <si>
    <t xml:space="preserve">BOF-08</t>
  </si>
  <si>
    <t xml:space="preserve">Droit sur l'action en lot</t>
  </si>
  <si>
    <t xml:space="preserve">Rôle sans droit delete</t>
  </si>
  <si>
    <t xml:space="preserve">L'action de suppression en lot n'est ni affichée ni exécutable</t>
  </si>
  <si>
    <t xml:space="preserve">BOF-09</t>
  </si>
  <si>
    <t xml:space="preserve">Export CSV</t>
  </si>
  <si>
    <t xml:space="preserve">export_csv</t>
  </si>
  <si>
    <t xml:space="preserve">Colonnes cohérentes avec la liste, encodage et séparateur corrects</t>
  </si>
  <si>
    <t xml:space="preserve">BOF-10</t>
  </si>
  <si>
    <t xml:space="preserve">Champ fichier / image</t>
  </si>
  <si>
    <t xml:space="preserve">Téléverser une image dans Files_controller puis dans une fiche membre</t>
  </si>
  <si>
    <t xml:space="preserve">Fichier stocké sous public/files/, restitué en liste et en vue</t>
  </si>
  <si>
    <t xml:space="preserve">BOF-11</t>
  </si>
  <si>
    <t xml:space="preserve">Éditeur riche</t>
  </si>
  <si>
    <t xml:space="preserve">Champ memo/html via CKEditor</t>
  </si>
  <si>
    <t xml:space="preserve">Contenu sauvegardé et restitué ; balises &lt;script&gt; neutralisées à l'affichage</t>
  </si>
  <si>
    <t xml:space="preserve">BOF-12</t>
  </si>
  <si>
    <t xml:space="preserve">Types d'éléments</t>
  </si>
  <si>
    <t xml:space="preserve">Champs date, time, month, select, checkboxdb, typeahead</t>
  </si>
  <si>
    <t xml:space="preserve">Saisie, sauvegarde et relecture correctes ; format de date H en 24 h</t>
  </si>
  <si>
    <t xml:space="preserve">BOF-13</t>
  </si>
  <si>
    <t xml:space="preserve">Options et paramètres</t>
  </si>
  <si>
    <t xml:space="preserve">Options_controller/list, Parameters/list</t>
  </si>
  <si>
    <t xml:space="preserve">Modification d'une couleur / d'un libellé de type répercutée dans les vues métier</t>
  </si>
  <si>
    <t xml:space="preserve">BOF-14</t>
  </si>
  <si>
    <t xml:space="preserve">edit/999999, view/999999</t>
  </si>
  <si>
    <t xml:space="preserve">Message propre, pas de trace PHP</t>
  </si>
  <si>
    <t xml:space="preserve">BOF-15</t>
  </si>
  <si>
    <t xml:space="preserve">Vue publique de fichiers</t>
  </si>
  <si>
    <t xml:space="preserve">Publics/files sans session</t>
  </si>
  <si>
    <t xml:space="preserve">Seuls les fichiers marqués publics sont accessibles</t>
  </si>
  <si>
    <t xml:space="preserve">TRA-01</t>
  </si>
  <si>
    <t xml:space="preserve">Liste des fichiers</t>
  </si>
  <si>
    <t xml:space="preserve">Translations_controller/list</t>
  </si>
  <si>
    <t xml:space="preserve">Fichiers de langue de l'idiome courant listés</t>
  </si>
  <si>
    <t xml:space="preserve">TRA-02</t>
  </si>
  <si>
    <t xml:space="preserve">Édition et sauvegarde</t>
  </si>
  <si>
    <t xml:space="preserve">Modifier une clé puis save</t>
  </si>
  <si>
    <t xml:space="preserve">Fichier app/Language/fr/*.php réécrit, valeur visible dans l'interface après rechargement</t>
  </si>
  <si>
    <t xml:space="preserve">TRA-03</t>
  </si>
  <si>
    <t xml:space="preserve">Sauvegarde préalable</t>
  </si>
  <si>
    <t xml:space="preserve">Vérifier après TRA-02</t>
  </si>
  <si>
    <t xml:space="preserve">Copie de sauvegarde créée avant réécriture</t>
  </si>
  <si>
    <t xml:space="preserve">TRA-04</t>
  </si>
  <si>
    <t xml:space="preserve">Caractères spéciaux</t>
  </si>
  <si>
    <t xml:space="preserve">Saisir une valeur avec ', ", \, un accent et un retour à la ligne</t>
  </si>
  <si>
    <t xml:space="preserve">Échappement correct ; le fichier PHP reste valide (contrôler php -l)</t>
  </si>
  <si>
    <t xml:space="preserve">TRA-05</t>
  </si>
  <si>
    <t xml:space="preserve">Suppression de clé</t>
  </si>
  <si>
    <t xml:space="preserve">delete_key</t>
  </si>
  <si>
    <t xml:space="preserve">Clé supprimée, aucune autre ligne altérée</t>
  </si>
  <si>
    <t xml:space="preserve">TRA-06</t>
  </si>
  <si>
    <t xml:space="preserve">Ajout de langue</t>
  </si>
  <si>
    <t xml:space="preserve">add_language puis switch_lang</t>
  </si>
  <si>
    <t xml:space="preserve">Nouveau répertoire créé à partir de la référence, bascule effective</t>
  </si>
  <si>
    <t xml:space="preserve">TRA-07</t>
  </si>
  <si>
    <t xml:space="preserve">Traversée de répertoire</t>
  </si>
  <si>
    <t xml:space="preserve">Appeler edit/../../config/config.php et edit/fr/../../../index.php</t>
  </si>
  <si>
    <t xml:space="preserve">Refus (_is_safe_idiom / _is_safe_file), aucun fichier hors app/Language/ lu ou écrit</t>
  </si>
  <si>
    <t xml:space="preserve">TRA-08</t>
  </si>
  <si>
    <t xml:space="preserve">Droits</t>
  </si>
  <si>
    <t xml:space="preserve">Accéder au module en session fam</t>
  </si>
  <si>
    <t xml:space="preserve">Accès refusé</t>
  </si>
  <si>
    <t xml:space="preserve">TRA-09</t>
  </si>
  <si>
    <t xml:space="preserve">Clé manquante</t>
  </si>
  <si>
    <t xml:space="preserve">Afficher une page dont une clé a été supprimée</t>
  </si>
  <si>
    <t xml:space="preserve">Dégradation propre (clé brute affichée), pas d'erreur fatale</t>
  </si>
  <si>
    <t xml:space="preserve">SEC-01</t>
  </si>
  <si>
    <t xml:space="preserve">Injection SQL</t>
  </si>
  <si>
    <t xml:space="preserve">', " OR 1=1--, % dans les champs de recherche, les filtres et les identifiants d'URL</t>
  </si>
  <si>
    <t xml:space="preserve">Aucun message d'erreur SQL, aucun résultat anormal</t>
  </si>
  <si>
    <t xml:space="preserve">SEC-02</t>
  </si>
  <si>
    <t xml:space="preserve">XSS stocké</t>
  </si>
  <si>
    <t xml:space="preserve">Enregistrer &lt;script&gt;alert(1)&lt;/script&gt; dans un titre de session, un commentaire d'unité, un nom de membre</t>
  </si>
  <si>
    <t xml:space="preserve">Affiché en texte, jamais exécuté (vérifier la liste, la vue, le PDF et l'e-mail)</t>
  </si>
  <si>
    <t xml:space="preserve">SEC-03</t>
  </si>
  <si>
    <t xml:space="preserve">XSS réfléchi</t>
  </si>
  <si>
    <t xml:space="preserve">Injecter la charge dans un paramètre de recherche</t>
  </si>
  <si>
    <t xml:space="preserve">Échappé à l'affichage</t>
  </si>
  <si>
    <t xml:space="preserve">SEC-04</t>
  </si>
  <si>
    <t xml:space="preserve">CSRF</t>
  </si>
  <si>
    <t xml:space="preserve">Rejouer un POST de suppression depuis une page externe</t>
  </si>
  <si>
    <t xml:space="preserve">Requête rejetée si la protection CSRF de CI est activée — sinon ouvrir une anomalie P1</t>
  </si>
  <si>
    <t xml:space="preserve">SEC-05</t>
  </si>
  <si>
    <t xml:space="preserve">IDOR</t>
  </si>
  <si>
    <t xml:space="preserve">Manipuler id_famille, id_travaux, id_info dans les URL et les POST en session fam</t>
  </si>
  <si>
    <t xml:space="preserve">Aucune action sur les données d'une autre famille</t>
  </si>
  <si>
    <t xml:space="preserve">SEC-06</t>
  </si>
  <si>
    <t xml:space="preserve">Élévation de privilège</t>
  </si>
  <si>
    <t xml:space="preserve">En session fam, poster vers Acl_roles_controller/set_rules et Familys_controller/edit d'une autre famille</t>
  </si>
  <si>
    <t xml:space="preserve">SEC-07</t>
  </si>
  <si>
    <t xml:space="preserve">Fixation de session</t>
  </si>
  <si>
    <t xml:space="preserve">Comparer l'identifiant de session avant/après connexion</t>
  </si>
  <si>
    <t xml:space="preserve">Identifiant régénéré à la connexion</t>
  </si>
  <si>
    <t xml:space="preserve">SEC-08</t>
  </si>
  <si>
    <t xml:space="preserve">Cookies</t>
  </si>
  <si>
    <t xml:space="preserve">Inspecter le cookie de session en HTTPS</t>
  </si>
  <si>
    <t xml:space="preserve">HttpOnly et Secure positionnés ; SameSite défini</t>
  </si>
  <si>
    <t xml:space="preserve">SEC-09</t>
  </si>
  <si>
    <t xml:space="preserve">Accès direct aux fichiers</t>
  </si>
  <si>
    <t xml:space="preserve">/app/Config/Travaux.php, /.env, /writable/logs/, /php_errors.log</t>
  </si>
  <si>
    <t xml:space="preserve">403/404 — aucun contenu servi</t>
  </si>
  <si>
    <t xml:space="preserve">SEC-10</t>
  </si>
  <si>
    <t xml:space="preserve">Fuite d'erreurs</t>
  </si>
  <si>
    <t xml:space="preserve">Provoquer une erreur SQL en production</t>
  </si>
  <si>
    <t xml:space="preserve">Page d'erreur générique, aucune trace ni requête affichée (debug_app = none)</t>
  </si>
  <si>
    <t xml:space="preserve">SEC-11</t>
  </si>
  <si>
    <t xml:space="preserve">Upload</t>
  </si>
  <si>
    <t xml:space="preserve">Téléverser .php, .phtml, .svg avec script, et un fichier de très grande taille</t>
  </si>
  <si>
    <t xml:space="preserve">Rejet ou stockage non exécutable ; vérifier qu'aucun script n'est atteignable via son URL</t>
  </si>
  <si>
    <t xml:space="preserve">SEC-12</t>
  </si>
  <si>
    <t xml:space="preserve">Force brute</t>
  </si>
  <si>
    <t xml:space="preserve">20 tentatives de connexion échouées</t>
  </si>
  <si>
    <t xml:space="preserve">Limitation ou temporisation en place — sinon ouvrir une anomalie et documenter le risque</t>
  </si>
  <si>
    <t xml:space="preserve">SEC-13</t>
  </si>
  <si>
    <t xml:space="preserve">Robustesse du token référent</t>
  </si>
  <si>
    <t xml:space="preserve">Tester des tokens tronqués, en majuscules, avec des caractères ajoutés</t>
  </si>
  <si>
    <t xml:space="preserve">Refus systématique ; aucune information sur l'existence du token</t>
  </si>
  <si>
    <t xml:space="preserve">SEC-14</t>
  </si>
  <si>
    <t xml:space="preserve">En-têtes HTTP</t>
  </si>
  <si>
    <t xml:space="preserve">Inspecter les réponses</t>
  </si>
  <si>
    <t xml:space="preserve">X-Content-Type-Options, X-Frame-Options/CSP, HSTS en production</t>
  </si>
  <si>
    <t xml:space="preserve">SEC-15</t>
  </si>
  <si>
    <t xml:space="preserve">HTTPS</t>
  </si>
  <si>
    <t xml:space="preserve">Appeler le site en http://</t>
  </si>
  <si>
    <t xml:space="preserve">Redirection vers HTTPS</t>
  </si>
  <si>
    <t xml:space="preserve">SEC-16</t>
  </si>
  <si>
    <t xml:space="preserve">Secrets versionnés</t>
  </si>
  <si>
    <t xml:space="preserve">git grep sur les mots de passe, clés d'API et identifiants de base</t>
  </si>
  <si>
    <t xml:space="preserve">Aucun secret dans le dépôt ; .env, secured.php et production/* bien ignorés</t>
  </si>
  <si>
    <t xml:space="preserve">SEC-17</t>
  </si>
  <si>
    <t xml:space="preserve">Mots de passe en base</t>
  </si>
  <si>
    <t xml:space="preserve">Inspecter acl_users.password et famille.password après une campagne de connexions</t>
  </si>
  <si>
    <t xml:space="preserve">100 % en $2y$ (bcrypt)</t>
  </si>
  <si>
    <t xml:space="preserve">IHM-01</t>
  </si>
  <si>
    <t xml:space="preserve">Parcours famille sur mobile 360 px</t>
  </si>
  <si>
    <t xml:space="preserve">Inscription à une session réalisable de bout en bout sans scroll horizontal</t>
  </si>
  <si>
    <t xml:space="preserve">IHM-02</t>
  </si>
  <si>
    <t xml:space="preserve">Agenda cantine sur mobile</t>
  </si>
  <si>
    <t xml:space="preserve">Grille lisible, boutons d'inscription atteignables au pouce</t>
  </si>
  <si>
    <t xml:space="preserve">IHM-03</t>
  </si>
  <si>
    <t xml:space="preserve">Écran Units_controller/valid sur portable 1366 px</t>
  </si>
  <si>
    <t xml:space="preserve">Cartes lisibles, barre sticky visible, pas de chevauchement</t>
  </si>
  <si>
    <t xml:space="preserve">IHM-04</t>
  </si>
  <si>
    <t xml:space="preserve">Menu latéral</t>
  </si>
  <si>
    <t xml:space="preserve">Ouverture/fermeture correcte sur mobile et bureau, entrées filtrées par type d'utilisateur (opt)</t>
  </si>
  <si>
    <t xml:space="preserve">IHM-05</t>
  </si>
  <si>
    <t xml:space="preserve">Compatibilité navigateurs</t>
  </si>
  <si>
    <t xml:space="preserve">Aucun défaut bloquant sur les navigateurs du [§ 15.3.2](#1532-navigateurs-cibles)</t>
  </si>
  <si>
    <t xml:space="preserve">IHM-06</t>
  </si>
  <si>
    <t xml:space="preserve">Console JavaScript</t>
  </si>
  <si>
    <t xml:space="preserve">Aucune erreur JS sur les écrans principaux</t>
  </si>
  <si>
    <t xml:space="preserve">IHM-07</t>
  </si>
  <si>
    <t xml:space="preserve">Impression / PDF</t>
  </si>
  <si>
    <t xml:space="preserve">La feuille de session imprimée est lisible et complète (assets/css/pdf.css)</t>
  </si>
  <si>
    <t xml:space="preserve">IHM-08</t>
  </si>
  <si>
    <t xml:space="preserve">Langue</t>
  </si>
  <si>
    <t xml:space="preserve">Aucune clé de traduction brute (SOME_KEY) visible dans l'interface</t>
  </si>
  <si>
    <t xml:space="preserve">IHM-09</t>
  </si>
  <si>
    <t xml:space="preserve">Accessibilité de base</t>
  </si>
  <si>
    <t xml:space="preserve">Contrastes suffisants, libellés de formulaire associés, navigation au clavier possible sur les formulaires d'inscription</t>
  </si>
  <si>
    <t xml:space="preserve">IHM-10</t>
  </si>
  <si>
    <t xml:space="preserve">Images manquantes</t>
  </si>
  <si>
    <t xml:space="preserve">Photo de membre absente → image de remplacement (broken_image.png), pas d'icône cassée</t>
  </si>
  <si>
    <t xml:space="preserve">PER-01</t>
  </si>
  <si>
    <t xml:space="preserve">Admwork_controller/register avec 200 sessions</t>
  </si>
  <si>
    <t xml:space="preserve">Chargement &lt; 2 s</t>
  </si>
  <si>
    <t xml:space="preserve">PER-02</t>
  </si>
  <si>
    <t xml:space="preserve">Units_controller/valid avec 100 sessions × 10 inscrits</t>
  </si>
  <si>
    <t xml:space="preserve">Chargement &lt; 3 s, filtrage client fluide</t>
  </si>
  <si>
    <t xml:space="preserve">PER-03</t>
  </si>
  <si>
    <t xml:space="preserve">Liste des familles (&gt; 300 lignes)</t>
  </si>
  <si>
    <t xml:space="preserve">Pagination efficace, &lt; 3 s</t>
  </si>
  <si>
    <t xml:space="preserve">PER-04</t>
  </si>
  <si>
    <t xml:space="preserve">30 inscriptions simultanées</t>
  </si>
  <si>
    <t xml:space="preserve">Aucune erreur 500, capacité maximale jamais dépassée</t>
  </si>
  <si>
    <t xml:space="preserve">PER-05</t>
  </si>
  <si>
    <t xml:space="preserve">Import CSV de 500 lignes</t>
  </si>
  <si>
    <t xml:space="preserve">Traitement sans timeout, ou pagination/lot documenté</t>
  </si>
  <si>
    <t xml:space="preserve">PER-06</t>
  </si>
  <si>
    <t xml:space="preserve">Journaux</t>
  </si>
  <si>
    <t xml:space="preserve">Après une campagne complète, writable/logs/ ne contient aucune erreur ERROR inattendue</t>
  </si>
  <si>
    <t xml:space="preserve">#</t>
  </si>
  <si>
    <t xml:space="preserve">Attendu</t>
  </si>
  <si>
    <t xml:space="preserve">1</t>
  </si>
  <si>
    <t xml:space="preserve">AUT-01 — Connexion admin</t>
  </si>
  <si>
    <t xml:space="preserve">Redirection vers le tableau de bord, menu sys complet</t>
  </si>
  <si>
    <t xml:space="preserve">2</t>
  </si>
  <si>
    <t xml:space="preserve">AUT-04 — Connexion famille</t>
  </si>
  <si>
    <t xml:space="preserve">Menu fam, pas d'entrée d'administration</t>
  </si>
  <si>
    <t xml:space="preserve">3</t>
  </si>
  <si>
    <t xml:space="preserve">TRV-01 — Admwork_controller/register</t>
  </si>
  <si>
    <t xml:space="preserve">Liste des sessions à venir, sans erreur PHP</t>
  </si>
  <si>
    <t xml:space="preserve">4</t>
  </si>
  <si>
    <t xml:space="preserve">TRV-05 — Inscription à une session</t>
  </si>
  <si>
    <t xml:space="preserve">Ligne créée dans infos, compteur d'inscrits incrémenté</t>
  </si>
  <si>
    <t xml:space="preserve">5</t>
  </si>
  <si>
    <t xml:space="preserve">TRV-08 — Désinscription</t>
  </si>
  <si>
    <t xml:space="preserve">Ligne supprimée, place libérée</t>
  </si>
  <si>
    <t xml:space="preserve">6</t>
  </si>
  <si>
    <t xml:space="preserve">CAN-03 — Agenda cantine semaine courante</t>
  </si>
  <si>
    <t xml:space="preserve">Grille lundi-vendredi affichée</t>
  </si>
  <si>
    <t xml:space="preserve">7</t>
  </si>
  <si>
    <t xml:space="preserve">UNI-01 — Units_controller/valid</t>
  </si>
  <si>
    <t xml:space="preserve">Cartes par session, filtres et compteurs opérationnels</t>
  </si>
  <si>
    <t xml:space="preserve">8</t>
  </si>
  <si>
    <t xml:space="preserve">FAM-01 — Familys_controller/histo</t>
  </si>
  <si>
    <t xml:space="preserve">Total d'unités correct pour U-FAM1</t>
  </si>
  <si>
    <t xml:space="preserve">9</t>
  </si>
  <si>
    <t xml:space="preserve">ORG-01 — Orgchart_controller/orga</t>
  </si>
  <si>
    <t xml:space="preserve">Organigramme affiché</t>
  </si>
  <si>
    <t xml:space="preserve">10</t>
  </si>
  <si>
    <t xml:space="preserve">ACL-01 — URL admin en session famille</t>
  </si>
  <si>
    <t xml:space="preserve">Redirection vers Home/no_right</t>
  </si>
  <si>
    <t xml:space="preserve">11</t>
  </si>
  <si>
    <t xml:space="preserve">MAI-01 — Déclenchement d'une notification</t>
  </si>
  <si>
    <t xml:space="preserve">Ligne statut=0 créée dans sendmail</t>
  </si>
  <si>
    <t xml:space="preserve">12</t>
  </si>
  <si>
    <t xml:space="preserve">AUT-08 — Déconnexion</t>
  </si>
  <si>
    <t xml:space="preserve">Session détruite, retour au formulaire de connexion</t>
  </si>
  <si>
    <t xml:space="preserve">Résultat smoke (12/12 requis)</t>
  </si>
  <si>
    <t xml:space="preserve">Comptes de test (§ 15.4.1)</t>
  </si>
  <si>
    <t xml:space="preserve">Réf.</t>
  </si>
  <si>
    <t xml:space="preserve">Login</t>
  </si>
  <si>
    <t xml:space="preserve">Type</t>
  </si>
  <si>
    <t xml:space="preserve">Usage</t>
  </si>
  <si>
    <t xml:space="preserve">U-ADM</t>
  </si>
  <si>
    <t xml:space="preserve">admin</t>
  </si>
  <si>
    <t xml:space="preserve">Toutes les actions d'administration</t>
  </si>
  <si>
    <t xml:space="preserve">U-SYS2</t>
  </si>
  <si>
    <t xml:space="preserve">gestion@test.local</t>
  </si>
  <si>
    <t xml:space="preserve">rôle restreint</t>
  </si>
  <si>
    <t xml:space="preserve">Vérifier le cloisonnement entre rôles sys</t>
  </si>
  <si>
    <t xml:space="preserve">famille1@test.local</t>
  </si>
  <si>
    <t xml:space="preserve">role_famille (2)</t>
  </si>
  <si>
    <t xml:space="preserve">Famille école M, 2 enfants, 0 unité</t>
  </si>
  <si>
    <t xml:space="preserve">U-FAM2</t>
  </si>
  <si>
    <t xml:space="preserve">famille2@test.local</t>
  </si>
  <si>
    <t xml:space="preserve">role_famille</t>
  </si>
  <si>
    <t xml:space="preserve">Famille école L, unités déjà validées</t>
  </si>
  <si>
    <t xml:space="preserve">U-REF</t>
  </si>
  <si>
    <t xml:space="preserve">referent@test.local</t>
  </si>
  <si>
    <t xml:space="preserve">Référente de T-FUTUR et T-PASSE</t>
  </si>
  <si>
    <t xml:space="preserve">U-LEGACY</t>
  </si>
  <si>
    <t xml:space="preserve">legacy@test.local</t>
  </si>
  <si>
    <t xml:space="preserve">Mot de passe encore en hash MD5/crypt() (test de migration bcrypt)</t>
  </si>
  <si>
    <t xml:space="preserve">U-DELTA</t>
  </si>
  <si>
    <t xml:space="preserve">compte Delta de test</t>
  </si>
  <si>
    <t xml:space="preserve">Connexion SSO</t>
  </si>
  <si>
    <t xml:space="preserve">Données métier (§ 15.4.2)</t>
  </si>
  <si>
    <t xml:space="preserve">Objet</t>
  </si>
  <si>
    <t xml:space="preserve">Caractéristiques</t>
  </si>
  <si>
    <t xml:space="preserve">T-BROUILLON</t>
  </si>
  <si>
    <t xml:space="preserve">travaux</t>
  </si>
  <si>
    <t xml:space="preserve">statut=0, date future — ne doit pas apparaître côté famille</t>
  </si>
  <si>
    <t xml:space="preserve">T-FUTUR</t>
  </si>
  <si>
    <t xml:space="preserve">type=TRA, statut=1, date J+15, nb_inscrits_max=4, nb_units=2, accespar=M, référent = U-REF</t>
  </si>
  <si>
    <t xml:space="preserve">T-PLEIN</t>
  </si>
  <si>
    <t xml:space="preserve">nb_inscrits_max=2 et déjà 2 inscrits — test de saturation</t>
  </si>
  <si>
    <t xml:space="preserve">T-PASSE</t>
  </si>
  <si>
    <t xml:space="preserve">date J-5, non archivé — validation référent</t>
  </si>
  <si>
    <t xml:space="preserve">T-VIEUX</t>
  </si>
  <si>
    <t xml:space="preserve">date J-45, archived=0 — test d'archivage automatique</t>
  </si>
  <si>
    <t xml:space="preserve">T-URG</t>
  </si>
  <si>
    <t xml:space="preserve">type=URG, sans date — ne doit jamais être archivé</t>
  </si>
  <si>
    <t xml:space="preserve">T-LUT</t>
  </si>
  <si>
    <t xml:space="preserve">accespar=L — invisible pour U-FAM1 (école M)</t>
  </si>
  <si>
    <t xml:space="preserve">T-AN-1</t>
  </si>
  <si>
    <t xml:space="preserve">civil_year=2024-2025 — cloisonnement par année</t>
  </si>
  <si>
    <t xml:space="preserve">T-CAN</t>
  </si>
  <si>
    <t xml:space="preserve">type=can, généré par le module cantine</t>
  </si>
  <si>
    <t xml:space="preserve">G-COM</t>
  </si>
  <si>
    <t xml:space="preserve">groupes</t>
  </si>
  <si>
    <t xml:space="preserve">Commission type=com avec 2 membres et 1 candidature en attente</t>
  </si>
  <si>
    <t xml:space="preserve">CSV-OK</t>
  </si>
  <si>
    <t xml:space="preserve">fichier</t>
  </si>
  <si>
    <t xml:space="preserve">Export ABCM valide, 10 familles dont 2 nouvelles et 1 modifiée</t>
  </si>
  <si>
    <t xml:space="preserve">CSV-KO</t>
  </si>
  <si>
    <t xml:space="preserve">Même fichier avec colonnes manquantes / encodage erroné</t>
  </si>
  <si>
    <t xml:space="preserve">Jeu de données SQL de recette : database/sql/jeu_de_test/ (ne jamais charger en production).</t>
  </si>
  <si>
    <t xml:space="preserve">Rubrique</t>
  </si>
  <si>
    <t xml:space="preserve">Point de contrôle</t>
  </si>
  <si>
    <t xml:space="preserve">Fait ?</t>
  </si>
  <si>
    <t xml:space="preserve">Prérequis techniques (§ 15.3.1)</t>
  </si>
  <si>
    <t xml:space="preserve">Base de recette restaurée à partir d'un dump anonymisé de production (ou du jeu de données du § 15.4).</t>
  </si>
  <si>
    <t xml:space="preserve">Non</t>
  </si>
  <si>
    <t xml:space="preserve">Migration SQL appliquée : database/sql/mig_prod_vers_ci4.sql (§ 13).</t>
  </si>
  <si>
    <t xml:space="preserve">.env présent et renseigné (travaux.apiKey, travaux.passwordSalt, SMTP email.*).</t>
  </si>
  <si>
    <t xml:space="preserve">.env (database.default.*) pointant sur la base de recette et jamais sur la production.</t>
  </si>
  <si>
    <t xml:space="preserve">Droits d'écriture sur writable/, public/files/, app/Language/.</t>
  </si>
  <si>
    <t xml:space="preserve">travaux.civilYear (.env) cohérent avec les données de test (par défaut 2025-2026).</t>
  </si>
  <si>
    <t xml:space="preserve">travaux.maintenance = false, travaux.debugApp = none (sauf test dédié) et CI_ENVIRONMENT = production.</t>
  </si>
  <si>
    <t xml:space="preserve">SMTP de recette pointant sur une boîte de capture (MailHog, Mailtrap ou alias interne) — jamais sur les adresses réelles des familles.</t>
  </si>
  <si>
    <t xml:space="preserve">Non-régression avant mise en prod (§ 15.7)</t>
  </si>
  <si>
    <t xml:space="preserve">.env à jour sur le serveur (database.default.*, travaux.*, email.*)</t>
  </si>
  <si>
    <t xml:space="preserve">Migration SQL appliquée (voir § 13)</t>
  </si>
  <si>
    <t xml:space="preserve">Droits d'écriture vérifiés sur writable/, public/files/</t>
  </si>
  <si>
    <t xml:space="preserve">civil_year correcte pour la campagne en cours</t>
  </si>
  <si>
    <t xml:space="preserve">maintenance = false, debug_app = 'none'</t>
  </si>
  <si>
    <t xml:space="preserve">Sauvegarde de la base de production effectuée</t>
  </si>
  <si>
    <t xml:space="preserve">Smoke test complet (§ 15.5) — 12/12</t>
  </si>
  <si>
    <t xml:space="preserve">Connexion admin et connexion famille</t>
  </si>
  <si>
    <t xml:space="preserve">Inscription puis désinscription à une session réelle de test, ensuite nettoyée</t>
  </si>
  <si>
    <t xml:space="preserve">Units_controller/valid affiche les sessions en attente</t>
  </si>
  <si>
    <t xml:space="preserve">Un mail de test traverse la file (sendmail → cron → boîte de réception)</t>
  </si>
  <si>
    <t xml:space="preserve">php spark cron:sendmail, cron:ref-validation et cron:session-alerts s'exécutent sans erreur en CLI</t>
  </si>
  <si>
    <t xml:space="preserve">Crontabs actifs sur le serveur (*/10 * * * * et 0 6 * * *)</t>
  </si>
  <si>
    <t xml:space="preserve">Aucune erreur dans writable/logs/ après 30 min d'exploitation</t>
  </si>
  <si>
    <t xml:space="preserve">/.env et /app/ inaccessibles via le navigateur (seul public/ est exposé)</t>
  </si>
  <si>
    <t xml:space="preserve">Aucun secret ajouté au dépôt sur ce cycle (git diff sur les fichiers de configuration)</t>
  </si>
  <si>
    <t xml:space="preserve">Critères d'entrée (§ 15.9.1)</t>
  </si>
  <si>
    <t xml:space="preserve">La branche est déployée sur regio.dev-asso.fr et l'application démarre.</t>
  </si>
  <si>
    <t xml:space="preserve">Les migrations SQL du lot sont passées.</t>
  </si>
  <si>
    <t xml:space="preserve">Le jeu de données du § 15.4 est en place.</t>
  </si>
  <si>
    <t xml:space="preserve">Le smoke test passe à 12/12.</t>
  </si>
  <si>
    <t xml:space="preserve">Critères de sortie (§ 15.9.2)</t>
  </si>
  <si>
    <t xml:space="preserve">100 % des cas P1 exécutés et conformes.</t>
  </si>
  <si>
    <t xml:space="preserve">≥ 90 % des cas P2 exécutés, aucune anomalie S1 ou S2 ouverte.</t>
  </si>
  <si>
    <t xml:space="preserve">Les anomalies S3/S4 restantes sont tracées et arbitrées avec le métier.</t>
  </si>
  <si>
    <t xml:space="preserve">La checklist du § 15.7 est complète.</t>
  </si>
  <si>
    <t xml:space="preserve">Le CHANGELOG et la documentation sont à jour pour les évolutions livrées.</t>
  </si>
  <si>
    <t xml:space="preserve">Cas de test</t>
  </si>
  <si>
    <t xml:space="preserve">Sévérité</t>
  </si>
  <si>
    <t xml:space="preserve">Environnement</t>
  </si>
  <si>
    <t xml:space="preserve">Compte</t>
  </si>
  <si>
    <t xml:space="preserve">URL</t>
  </si>
  <si>
    <t xml:space="preserve">Étapes de reproduction</t>
  </si>
  <si>
    <t xml:space="preserve">Résultat obtenu</t>
  </si>
  <si>
    <t xml:space="preserve">Issue GitHub</t>
  </si>
  <si>
    <t xml:space="preserve">ANO-001</t>
  </si>
  <si>
    <t xml:space="preserve">S3</t>
  </si>
  <si>
    <t xml:space="preserve">recette — Chrome 1440×900</t>
  </si>
  <si>
    <t xml:space="preserve">/Admwork_controller/register</t>
  </si>
  <si>
    <t xml:space="preserve">1. … 2. …</t>
  </si>
  <si>
    <t xml:space="preserve">(exemple)</t>
  </si>
  <si>
    <t xml:space="preserve">Ouverte</t>
  </si>
  <si>
    <t xml:space="preserve">Ligne ANO-001 = exemple de format (à écraser). Sévérités : S1 bloquant · S2 majeur · S3 mineur · S4 cosmétique (§ 15.8).</t>
  </si>
  <si>
    <t xml:space="preserve">Zone</t>
  </si>
  <si>
    <t xml:space="preserve">Risque</t>
  </si>
  <si>
    <t xml:space="preserve">Cas associés</t>
  </si>
  <si>
    <t xml:space="preserve">Admwork_model::GetFiltered</t>
  </si>
  <si>
    <t xml:space="preserve">L'année 2025-2026 est codée en dur — les campagnes suivantes risquent de ne rien afficher</t>
  </si>
  <si>
    <t xml:space="preserve">Contrôle de capacité (ADD_registration)</t>
  </si>
  <si>
    <t xml:space="preserve">Lecture puis écriture non atomiques : dépassement possible en cas d'inscriptions simultanées</t>
  </si>
  <si>
    <t xml:space="preserve">TRV-11, PER-04</t>
  </si>
  <si>
    <t xml:space="preserve">trombi.ref / groupes_member.id_fam en VARCHAR</t>
  </si>
  <si>
    <t xml:space="preserve">Une valeur non numérique casse silencieusement la chaîne référent → aucun mail envoyé</t>
  </si>
  <si>
    <t xml:space="preserve">ORG-08, CRO-08</t>
  </si>
  <si>
    <t xml:space="preserve">Tokens de validation</t>
  </si>
  <si>
    <t xml:space="preserve">Rejeu et expiration : risque de double comptage d'unités</t>
  </si>
  <si>
    <t xml:space="preserve">REF-06, REF-07, REF-11</t>
  </si>
  <si>
    <t xml:space="preserve">Translations_controller</t>
  </si>
  <si>
    <t xml:space="preserve">Écriture de fichiers PHP depuis l'interface : traversée de répertoire et fichier corrompu</t>
  </si>
  <si>
    <t xml:space="preserve">TRA-04, TRA-07</t>
  </si>
  <si>
    <t xml:space="preserve">Verrou cron (writable/cron.lock, flock)</t>
  </si>
  <si>
    <t xml:space="preserve">Deux cron simultanés doivent s'exclure ; le verrou ne doit jamais rester orphelin</t>
  </si>
  <si>
    <t xml:space="preserve">CRO-04, CRO-05</t>
  </si>
  <si>
    <t xml:space="preserve">Import CSV</t>
  </si>
  <si>
    <t xml:space="preserve">Écrasement de données locales (unités, mots de passe)</t>
  </si>
  <si>
    <t xml:space="preserve">Format de date H vs h</t>
  </si>
  <si>
    <t xml:space="preserve">Bug historique sur updated — à revérifier après toute modification des éléments de date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</si>
</sst>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0%"/>
    <numFmt numFmtId="166" formatCode="0"/>
    <numFmt numFmtId="167" formatCode="dd/mm/yyyy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10"/>
      <color rgb="FF0000FF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  <dxf>
      <fill>
        <patternFill>
          <bgColor rgb="FFFFEB9C"/>
        </patternFill>
      </fill>
    </dxf>
    <dxf>
      <fill>
        <patternFill>
          <bgColor rgb="FFD9D9D9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8"/>
    <col collapsed="false" customWidth="true" hidden="false" outlineLevel="0" max="4" min="4" style="0" width="9"/>
    <col collapsed="false" customWidth="true" hidden="false" outlineLevel="0" max="6" min="5" style="0" width="8"/>
    <col collapsed="false" customWidth="true" hidden="false" outlineLevel="0" max="7" min="7" style="0" width="9"/>
    <col collapsed="false" customWidth="true" hidden="false" outlineLevel="0" max="8" min="8" style="0" width="8"/>
    <col collapsed="false" customWidth="true" hidden="false" outlineLevel="0" max="9" min="9" style="0" width="11"/>
    <col collapsed="false" customWidth="true" hidden="false" outlineLevel="0" max="10" min="10" style="0" width="9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6.8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customFormat="false" ht="15" hidden="false" customHeight="false" outlineLevel="0" collapsed="false">
      <c r="A5" s="4" t="s">
        <v>12</v>
      </c>
      <c r="B5" s="4" t="n">
        <f aca="false">COUNTIF('Cas de test'!$B$2:$B$204,$A5)</f>
        <v>14</v>
      </c>
      <c r="C5" s="4" t="n">
        <f aca="false">COUNTIFS('Cas de test'!$B$2:$B$204,$A5,'Cas de test'!$C$2:$C$204,"P1")</f>
        <v>6</v>
      </c>
      <c r="D5" s="4" t="n">
        <f aca="false">COUNTIFS('Cas de test'!$B$2:$B$204,$A5,'Cas de test'!$J$2:$J$204,"À faire")</f>
        <v>14</v>
      </c>
      <c r="E5" s="4" t="n">
        <f aca="false">COUNTIFS('Cas de test'!$B$2:$B$204,$A5,'Cas de test'!$J$2:$J$204,"OK")</f>
        <v>0</v>
      </c>
      <c r="F5" s="4" t="n">
        <f aca="false">COUNTIFS('Cas de test'!$B$2:$B$204,$A5,'Cas de test'!$J$2:$J$204,"KO")</f>
        <v>0</v>
      </c>
      <c r="G5" s="4" t="n">
        <f aca="false">COUNTIFS('Cas de test'!$B$2:$B$204,$A5,'Cas de test'!$J$2:$J$204,"Bloqué")</f>
        <v>0</v>
      </c>
      <c r="H5" s="4" t="n">
        <f aca="false">COUNTIFS('Cas de test'!$B$2:$B$204,$A5,'Cas de test'!$J$2:$J$204,"N/A")</f>
        <v>0</v>
      </c>
      <c r="I5" s="5" t="n">
        <f aca="false">IF(B5=0,0,(B5-D5)/B5)</f>
        <v>0</v>
      </c>
      <c r="J5" s="5" t="n">
        <f aca="false">IF(B5=0,0,E5/B5)</f>
        <v>0</v>
      </c>
    </row>
    <row r="6" customFormat="false" ht="15" hidden="false" customHeight="false" outlineLevel="0" collapsed="false">
      <c r="A6" s="4" t="s">
        <v>13</v>
      </c>
      <c r="B6" s="4" t="n">
        <f aca="false">COUNTIF('Cas de test'!$B$2:$B$204,$A6)</f>
        <v>11</v>
      </c>
      <c r="C6" s="4" t="n">
        <f aca="false">COUNTIFS('Cas de test'!$B$2:$B$204,$A6,'Cas de test'!$C$2:$C$204,"P1")</f>
        <v>7</v>
      </c>
      <c r="D6" s="4" t="n">
        <f aca="false">COUNTIFS('Cas de test'!$B$2:$B$204,$A6,'Cas de test'!$J$2:$J$204,"À faire")</f>
        <v>11</v>
      </c>
      <c r="E6" s="4" t="n">
        <f aca="false">COUNTIFS('Cas de test'!$B$2:$B$204,$A6,'Cas de test'!$J$2:$J$204,"OK")</f>
        <v>0</v>
      </c>
      <c r="F6" s="4" t="n">
        <f aca="false">COUNTIFS('Cas de test'!$B$2:$B$204,$A6,'Cas de test'!$J$2:$J$204,"KO")</f>
        <v>0</v>
      </c>
      <c r="G6" s="4" t="n">
        <f aca="false">COUNTIFS('Cas de test'!$B$2:$B$204,$A6,'Cas de test'!$J$2:$J$204,"Bloqué")</f>
        <v>0</v>
      </c>
      <c r="H6" s="4" t="n">
        <f aca="false">COUNTIFS('Cas de test'!$B$2:$B$204,$A6,'Cas de test'!$J$2:$J$204,"N/A")</f>
        <v>0</v>
      </c>
      <c r="I6" s="5" t="n">
        <f aca="false">IF(B6=0,0,(B6-D6)/B6)</f>
        <v>0</v>
      </c>
      <c r="J6" s="5" t="n">
        <f aca="false">IF(B6=0,0,E6/B6)</f>
        <v>0</v>
      </c>
    </row>
    <row r="7" customFormat="false" ht="15" hidden="false" customHeight="false" outlineLevel="0" collapsed="false">
      <c r="A7" s="4" t="s">
        <v>14</v>
      </c>
      <c r="B7" s="4" t="n">
        <f aca="false">COUNTIF('Cas de test'!$B$2:$B$204,$A7)</f>
        <v>19</v>
      </c>
      <c r="C7" s="4" t="n">
        <f aca="false">COUNTIFS('Cas de test'!$B$2:$B$204,$A7,'Cas de test'!$C$2:$C$204,"P1")</f>
        <v>9</v>
      </c>
      <c r="D7" s="4" t="n">
        <f aca="false">COUNTIFS('Cas de test'!$B$2:$B$204,$A7,'Cas de test'!$J$2:$J$204,"À faire")</f>
        <v>19</v>
      </c>
      <c r="E7" s="4" t="n">
        <f aca="false">COUNTIFS('Cas de test'!$B$2:$B$204,$A7,'Cas de test'!$J$2:$J$204,"OK")</f>
        <v>0</v>
      </c>
      <c r="F7" s="4" t="n">
        <f aca="false">COUNTIFS('Cas de test'!$B$2:$B$204,$A7,'Cas de test'!$J$2:$J$204,"KO")</f>
        <v>0</v>
      </c>
      <c r="G7" s="4" t="n">
        <f aca="false">COUNTIFS('Cas de test'!$B$2:$B$204,$A7,'Cas de test'!$J$2:$J$204,"Bloqué")</f>
        <v>0</v>
      </c>
      <c r="H7" s="4" t="n">
        <f aca="false">COUNTIFS('Cas de test'!$B$2:$B$204,$A7,'Cas de test'!$J$2:$J$204,"N/A")</f>
        <v>0</v>
      </c>
      <c r="I7" s="5" t="n">
        <f aca="false">IF(B7=0,0,(B7-D7)/B7)</f>
        <v>0</v>
      </c>
      <c r="J7" s="5" t="n">
        <f aca="false">IF(B7=0,0,E7/B7)</f>
        <v>0</v>
      </c>
    </row>
    <row r="8" customFormat="false" ht="15" hidden="false" customHeight="false" outlineLevel="0" collapsed="false">
      <c r="A8" s="4" t="s">
        <v>15</v>
      </c>
      <c r="B8" s="4" t="n">
        <f aca="false">COUNTIF('Cas de test'!$B$2:$B$204,$A8)</f>
        <v>11</v>
      </c>
      <c r="C8" s="4" t="n">
        <f aca="false">COUNTIFS('Cas de test'!$B$2:$B$204,$A8,'Cas de test'!$C$2:$C$204,"P1")</f>
        <v>8</v>
      </c>
      <c r="D8" s="4" t="n">
        <f aca="false">COUNTIFS('Cas de test'!$B$2:$B$204,$A8,'Cas de test'!$J$2:$J$204,"À faire")</f>
        <v>11</v>
      </c>
      <c r="E8" s="4" t="n">
        <f aca="false">COUNTIFS('Cas de test'!$B$2:$B$204,$A8,'Cas de test'!$J$2:$J$204,"OK")</f>
        <v>0</v>
      </c>
      <c r="F8" s="4" t="n">
        <f aca="false">COUNTIFS('Cas de test'!$B$2:$B$204,$A8,'Cas de test'!$J$2:$J$204,"KO")</f>
        <v>0</v>
      </c>
      <c r="G8" s="4" t="n">
        <f aca="false">COUNTIFS('Cas de test'!$B$2:$B$204,$A8,'Cas de test'!$J$2:$J$204,"Bloqué")</f>
        <v>0</v>
      </c>
      <c r="H8" s="4" t="n">
        <f aca="false">COUNTIFS('Cas de test'!$B$2:$B$204,$A8,'Cas de test'!$J$2:$J$204,"N/A")</f>
        <v>0</v>
      </c>
      <c r="I8" s="5" t="n">
        <f aca="false">IF(B8=0,0,(B8-D8)/B8)</f>
        <v>0</v>
      </c>
      <c r="J8" s="5" t="n">
        <f aca="false">IF(B8=0,0,E8/B8)</f>
        <v>0</v>
      </c>
    </row>
    <row r="9" customFormat="false" ht="15" hidden="false" customHeight="false" outlineLevel="0" collapsed="false">
      <c r="A9" s="4" t="s">
        <v>16</v>
      </c>
      <c r="B9" s="4" t="n">
        <f aca="false">COUNTIF('Cas de test'!$B$2:$B$204,$A9)</f>
        <v>11</v>
      </c>
      <c r="C9" s="4" t="n">
        <f aca="false">COUNTIFS('Cas de test'!$B$2:$B$204,$A9,'Cas de test'!$C$2:$C$204,"P1")</f>
        <v>8</v>
      </c>
      <c r="D9" s="4" t="n">
        <f aca="false">COUNTIFS('Cas de test'!$B$2:$B$204,$A9,'Cas de test'!$J$2:$J$204,"À faire")</f>
        <v>11</v>
      </c>
      <c r="E9" s="4" t="n">
        <f aca="false">COUNTIFS('Cas de test'!$B$2:$B$204,$A9,'Cas de test'!$J$2:$J$204,"OK")</f>
        <v>0</v>
      </c>
      <c r="F9" s="4" t="n">
        <f aca="false">COUNTIFS('Cas de test'!$B$2:$B$204,$A9,'Cas de test'!$J$2:$J$204,"KO")</f>
        <v>0</v>
      </c>
      <c r="G9" s="4" t="n">
        <f aca="false">COUNTIFS('Cas de test'!$B$2:$B$204,$A9,'Cas de test'!$J$2:$J$204,"Bloqué")</f>
        <v>0</v>
      </c>
      <c r="H9" s="4" t="n">
        <f aca="false">COUNTIFS('Cas de test'!$B$2:$B$204,$A9,'Cas de test'!$J$2:$J$204,"N/A")</f>
        <v>0</v>
      </c>
      <c r="I9" s="5" t="n">
        <f aca="false">IF(B9=0,0,(B9-D9)/B9)</f>
        <v>0</v>
      </c>
      <c r="J9" s="5" t="n">
        <f aca="false">IF(B9=0,0,E9/B9)</f>
        <v>0</v>
      </c>
    </row>
    <row r="10" customFormat="false" ht="15" hidden="false" customHeight="false" outlineLevel="0" collapsed="false">
      <c r="A10" s="4" t="s">
        <v>17</v>
      </c>
      <c r="B10" s="4" t="n">
        <f aca="false">COUNTIF('Cas de test'!$B$2:$B$204,$A10)</f>
        <v>12</v>
      </c>
      <c r="C10" s="4" t="n">
        <f aca="false">COUNTIFS('Cas de test'!$B$2:$B$204,$A10,'Cas de test'!$C$2:$C$204,"P1")</f>
        <v>6</v>
      </c>
      <c r="D10" s="4" t="n">
        <f aca="false">COUNTIFS('Cas de test'!$B$2:$B$204,$A10,'Cas de test'!$J$2:$J$204,"À faire")</f>
        <v>12</v>
      </c>
      <c r="E10" s="4" t="n">
        <f aca="false">COUNTIFS('Cas de test'!$B$2:$B$204,$A10,'Cas de test'!$J$2:$J$204,"OK")</f>
        <v>0</v>
      </c>
      <c r="F10" s="4" t="n">
        <f aca="false">COUNTIFS('Cas de test'!$B$2:$B$204,$A10,'Cas de test'!$J$2:$J$204,"KO")</f>
        <v>0</v>
      </c>
      <c r="G10" s="4" t="n">
        <f aca="false">COUNTIFS('Cas de test'!$B$2:$B$204,$A10,'Cas de test'!$J$2:$J$204,"Bloqué")</f>
        <v>0</v>
      </c>
      <c r="H10" s="4" t="n">
        <f aca="false">COUNTIFS('Cas de test'!$B$2:$B$204,$A10,'Cas de test'!$J$2:$J$204,"N/A")</f>
        <v>0</v>
      </c>
      <c r="I10" s="5" t="n">
        <f aca="false">IF(B10=0,0,(B10-D10)/B10)</f>
        <v>0</v>
      </c>
      <c r="J10" s="5" t="n">
        <f aca="false">IF(B10=0,0,E10/B10)</f>
        <v>0</v>
      </c>
    </row>
    <row r="11" customFormat="false" ht="15" hidden="false" customHeight="false" outlineLevel="0" collapsed="false">
      <c r="A11" s="4" t="s">
        <v>18</v>
      </c>
      <c r="B11" s="4" t="n">
        <f aca="false">COUNTIF('Cas de test'!$B$2:$B$204,$A11)</f>
        <v>12</v>
      </c>
      <c r="C11" s="4" t="n">
        <f aca="false">COUNTIFS('Cas de test'!$B$2:$B$204,$A11,'Cas de test'!$C$2:$C$204,"P1")</f>
        <v>4</v>
      </c>
      <c r="D11" s="4" t="n">
        <f aca="false">COUNTIFS('Cas de test'!$B$2:$B$204,$A11,'Cas de test'!$J$2:$J$204,"À faire")</f>
        <v>12</v>
      </c>
      <c r="E11" s="4" t="n">
        <f aca="false">COUNTIFS('Cas de test'!$B$2:$B$204,$A11,'Cas de test'!$J$2:$J$204,"OK")</f>
        <v>0</v>
      </c>
      <c r="F11" s="4" t="n">
        <f aca="false">COUNTIFS('Cas de test'!$B$2:$B$204,$A11,'Cas de test'!$J$2:$J$204,"KO")</f>
        <v>0</v>
      </c>
      <c r="G11" s="4" t="n">
        <f aca="false">COUNTIFS('Cas de test'!$B$2:$B$204,$A11,'Cas de test'!$J$2:$J$204,"Bloqué")</f>
        <v>0</v>
      </c>
      <c r="H11" s="4" t="n">
        <f aca="false">COUNTIFS('Cas de test'!$B$2:$B$204,$A11,'Cas de test'!$J$2:$J$204,"N/A")</f>
        <v>0</v>
      </c>
      <c r="I11" s="5" t="n">
        <f aca="false">IF(B11=0,0,(B11-D11)/B11)</f>
        <v>0</v>
      </c>
      <c r="J11" s="5" t="n">
        <f aca="false">IF(B11=0,0,E11/B11)</f>
        <v>0</v>
      </c>
    </row>
    <row r="12" customFormat="false" ht="15" hidden="false" customHeight="false" outlineLevel="0" collapsed="false">
      <c r="A12" s="4" t="s">
        <v>19</v>
      </c>
      <c r="B12" s="4" t="n">
        <f aca="false">COUNTIF('Cas de test'!$B$2:$B$204,$A12)</f>
        <v>9</v>
      </c>
      <c r="C12" s="4" t="n">
        <f aca="false">COUNTIFS('Cas de test'!$B$2:$B$204,$A12,'Cas de test'!$C$2:$C$204,"P1")</f>
        <v>5</v>
      </c>
      <c r="D12" s="4" t="n">
        <f aca="false">COUNTIFS('Cas de test'!$B$2:$B$204,$A12,'Cas de test'!$J$2:$J$204,"À faire")</f>
        <v>9</v>
      </c>
      <c r="E12" s="4" t="n">
        <f aca="false">COUNTIFS('Cas de test'!$B$2:$B$204,$A12,'Cas de test'!$J$2:$J$204,"OK")</f>
        <v>0</v>
      </c>
      <c r="F12" s="4" t="n">
        <f aca="false">COUNTIFS('Cas de test'!$B$2:$B$204,$A12,'Cas de test'!$J$2:$J$204,"KO")</f>
        <v>0</v>
      </c>
      <c r="G12" s="4" t="n">
        <f aca="false">COUNTIFS('Cas de test'!$B$2:$B$204,$A12,'Cas de test'!$J$2:$J$204,"Bloqué")</f>
        <v>0</v>
      </c>
      <c r="H12" s="4" t="n">
        <f aca="false">COUNTIFS('Cas de test'!$B$2:$B$204,$A12,'Cas de test'!$J$2:$J$204,"N/A")</f>
        <v>0</v>
      </c>
      <c r="I12" s="5" t="n">
        <f aca="false">IF(B12=0,0,(B12-D12)/B12)</f>
        <v>0</v>
      </c>
      <c r="J12" s="5" t="n">
        <f aca="false">IF(B12=0,0,E12/B12)</f>
        <v>0</v>
      </c>
    </row>
    <row r="13" customFormat="false" ht="15" hidden="false" customHeight="false" outlineLevel="0" collapsed="false">
      <c r="A13" s="4" t="s">
        <v>20</v>
      </c>
      <c r="B13" s="4" t="n">
        <f aca="false">COUNTIF('Cas de test'!$B$2:$B$204,$A13)</f>
        <v>9</v>
      </c>
      <c r="C13" s="4" t="n">
        <f aca="false">COUNTIFS('Cas de test'!$B$2:$B$204,$A13,'Cas de test'!$C$2:$C$204,"P1")</f>
        <v>1</v>
      </c>
      <c r="D13" s="4" t="n">
        <f aca="false">COUNTIFS('Cas de test'!$B$2:$B$204,$A13,'Cas de test'!$J$2:$J$204,"À faire")</f>
        <v>9</v>
      </c>
      <c r="E13" s="4" t="n">
        <f aca="false">COUNTIFS('Cas de test'!$B$2:$B$204,$A13,'Cas de test'!$J$2:$J$204,"OK")</f>
        <v>0</v>
      </c>
      <c r="F13" s="4" t="n">
        <f aca="false">COUNTIFS('Cas de test'!$B$2:$B$204,$A13,'Cas de test'!$J$2:$J$204,"KO")</f>
        <v>0</v>
      </c>
      <c r="G13" s="4" t="n">
        <f aca="false">COUNTIFS('Cas de test'!$B$2:$B$204,$A13,'Cas de test'!$J$2:$J$204,"Bloqué")</f>
        <v>0</v>
      </c>
      <c r="H13" s="4" t="n">
        <f aca="false">COUNTIFS('Cas de test'!$B$2:$B$204,$A13,'Cas de test'!$J$2:$J$204,"N/A")</f>
        <v>0</v>
      </c>
      <c r="I13" s="5" t="n">
        <f aca="false">IF(B13=0,0,(B13-D13)/B13)</f>
        <v>0</v>
      </c>
      <c r="J13" s="5" t="n">
        <f aca="false">IF(B13=0,0,E13/B13)</f>
        <v>0</v>
      </c>
    </row>
    <row r="14" customFormat="false" ht="15" hidden="false" customHeight="false" outlineLevel="0" collapsed="false">
      <c r="A14" s="4" t="s">
        <v>21</v>
      </c>
      <c r="B14" s="4" t="n">
        <f aca="false">COUNTIF('Cas de test'!$B$2:$B$204,$A14)</f>
        <v>11</v>
      </c>
      <c r="C14" s="4" t="n">
        <f aca="false">COUNTIFS('Cas de test'!$B$2:$B$204,$A14,'Cas de test'!$C$2:$C$204,"P1")</f>
        <v>4</v>
      </c>
      <c r="D14" s="4" t="n">
        <f aca="false">COUNTIFS('Cas de test'!$B$2:$B$204,$A14,'Cas de test'!$J$2:$J$204,"À faire")</f>
        <v>11</v>
      </c>
      <c r="E14" s="4" t="n">
        <f aca="false">COUNTIFS('Cas de test'!$B$2:$B$204,$A14,'Cas de test'!$J$2:$J$204,"OK")</f>
        <v>0</v>
      </c>
      <c r="F14" s="4" t="n">
        <f aca="false">COUNTIFS('Cas de test'!$B$2:$B$204,$A14,'Cas de test'!$J$2:$J$204,"KO")</f>
        <v>0</v>
      </c>
      <c r="G14" s="4" t="n">
        <f aca="false">COUNTIFS('Cas de test'!$B$2:$B$204,$A14,'Cas de test'!$J$2:$J$204,"Bloqué")</f>
        <v>0</v>
      </c>
      <c r="H14" s="4" t="n">
        <f aca="false">COUNTIFS('Cas de test'!$B$2:$B$204,$A14,'Cas de test'!$J$2:$J$204,"N/A")</f>
        <v>0</v>
      </c>
      <c r="I14" s="5" t="n">
        <f aca="false">IF(B14=0,0,(B14-D14)/B14)</f>
        <v>0</v>
      </c>
      <c r="J14" s="5" t="n">
        <f aca="false">IF(B14=0,0,E14/B14)</f>
        <v>0</v>
      </c>
    </row>
    <row r="15" customFormat="false" ht="15" hidden="false" customHeight="false" outlineLevel="0" collapsed="false">
      <c r="A15" s="4" t="s">
        <v>22</v>
      </c>
      <c r="B15" s="4" t="n">
        <f aca="false">COUNTIF('Cas de test'!$B$2:$B$204,$A15)</f>
        <v>11</v>
      </c>
      <c r="C15" s="4" t="n">
        <f aca="false">COUNTIFS('Cas de test'!$B$2:$B$204,$A15,'Cas de test'!$C$2:$C$204,"P1")</f>
        <v>6</v>
      </c>
      <c r="D15" s="4" t="n">
        <f aca="false">COUNTIFS('Cas de test'!$B$2:$B$204,$A15,'Cas de test'!$J$2:$J$204,"À faire")</f>
        <v>11</v>
      </c>
      <c r="E15" s="4" t="n">
        <f aca="false">COUNTIFS('Cas de test'!$B$2:$B$204,$A15,'Cas de test'!$J$2:$J$204,"OK")</f>
        <v>0</v>
      </c>
      <c r="F15" s="4" t="n">
        <f aca="false">COUNTIFS('Cas de test'!$B$2:$B$204,$A15,'Cas de test'!$J$2:$J$204,"KO")</f>
        <v>0</v>
      </c>
      <c r="G15" s="4" t="n">
        <f aca="false">COUNTIFS('Cas de test'!$B$2:$B$204,$A15,'Cas de test'!$J$2:$J$204,"Bloqué")</f>
        <v>0</v>
      </c>
      <c r="H15" s="4" t="n">
        <f aca="false">COUNTIFS('Cas de test'!$B$2:$B$204,$A15,'Cas de test'!$J$2:$J$204,"N/A")</f>
        <v>0</v>
      </c>
      <c r="I15" s="5" t="n">
        <f aca="false">IF(B15=0,0,(B15-D15)/B15)</f>
        <v>0</v>
      </c>
      <c r="J15" s="5" t="n">
        <f aca="false">IF(B15=0,0,E15/B15)</f>
        <v>0</v>
      </c>
    </row>
    <row r="16" customFormat="false" ht="15" hidden="false" customHeight="false" outlineLevel="0" collapsed="false">
      <c r="A16" s="4" t="s">
        <v>23</v>
      </c>
      <c r="B16" s="4" t="n">
        <f aca="false">COUNTIF('Cas de test'!$B$2:$B$204,$A16)</f>
        <v>16</v>
      </c>
      <c r="C16" s="4" t="n">
        <f aca="false">COUNTIFS('Cas de test'!$B$2:$B$204,$A16,'Cas de test'!$C$2:$C$204,"P1")</f>
        <v>12</v>
      </c>
      <c r="D16" s="4" t="n">
        <f aca="false">COUNTIFS('Cas de test'!$B$2:$B$204,$A16,'Cas de test'!$J$2:$J$204,"À faire")</f>
        <v>16</v>
      </c>
      <c r="E16" s="4" t="n">
        <f aca="false">COUNTIFS('Cas de test'!$B$2:$B$204,$A16,'Cas de test'!$J$2:$J$204,"OK")</f>
        <v>0</v>
      </c>
      <c r="F16" s="4" t="n">
        <f aca="false">COUNTIFS('Cas de test'!$B$2:$B$204,$A16,'Cas de test'!$J$2:$J$204,"KO")</f>
        <v>0</v>
      </c>
      <c r="G16" s="4" t="n">
        <f aca="false">COUNTIFS('Cas de test'!$B$2:$B$204,$A16,'Cas de test'!$J$2:$J$204,"Bloqué")</f>
        <v>0</v>
      </c>
      <c r="H16" s="4" t="n">
        <f aca="false">COUNTIFS('Cas de test'!$B$2:$B$204,$A16,'Cas de test'!$J$2:$J$204,"N/A")</f>
        <v>0</v>
      </c>
      <c r="I16" s="5" t="n">
        <f aca="false">IF(B16=0,0,(B16-D16)/B16)</f>
        <v>0</v>
      </c>
      <c r="J16" s="5" t="n">
        <f aca="false">IF(B16=0,0,E16/B16)</f>
        <v>0</v>
      </c>
    </row>
    <row r="17" customFormat="false" ht="15" hidden="false" customHeight="false" outlineLevel="0" collapsed="false">
      <c r="A17" s="4" t="s">
        <v>24</v>
      </c>
      <c r="B17" s="4" t="n">
        <f aca="false">COUNTIF('Cas de test'!$B$2:$B$204,$A17)</f>
        <v>15</v>
      </c>
      <c r="C17" s="4" t="n">
        <f aca="false">COUNTIFS('Cas de test'!$B$2:$B$204,$A17,'Cas de test'!$C$2:$C$204,"P1")</f>
        <v>7</v>
      </c>
      <c r="D17" s="4" t="n">
        <f aca="false">COUNTIFS('Cas de test'!$B$2:$B$204,$A17,'Cas de test'!$J$2:$J$204,"À faire")</f>
        <v>15</v>
      </c>
      <c r="E17" s="4" t="n">
        <f aca="false">COUNTIFS('Cas de test'!$B$2:$B$204,$A17,'Cas de test'!$J$2:$J$204,"OK")</f>
        <v>0</v>
      </c>
      <c r="F17" s="4" t="n">
        <f aca="false">COUNTIFS('Cas de test'!$B$2:$B$204,$A17,'Cas de test'!$J$2:$J$204,"KO")</f>
        <v>0</v>
      </c>
      <c r="G17" s="4" t="n">
        <f aca="false">COUNTIFS('Cas de test'!$B$2:$B$204,$A17,'Cas de test'!$J$2:$J$204,"Bloqué")</f>
        <v>0</v>
      </c>
      <c r="H17" s="4" t="n">
        <f aca="false">COUNTIFS('Cas de test'!$B$2:$B$204,$A17,'Cas de test'!$J$2:$J$204,"N/A")</f>
        <v>0</v>
      </c>
      <c r="I17" s="5" t="n">
        <f aca="false">IF(B17=0,0,(B17-D17)/B17)</f>
        <v>0</v>
      </c>
      <c r="J17" s="5" t="n">
        <f aca="false">IF(B17=0,0,E17/B17)</f>
        <v>0</v>
      </c>
    </row>
    <row r="18" customFormat="false" ht="15" hidden="false" customHeight="false" outlineLevel="0" collapsed="false">
      <c r="A18" s="4" t="s">
        <v>25</v>
      </c>
      <c r="B18" s="4" t="n">
        <f aca="false">COUNTIF('Cas de test'!$B$2:$B$204,$A18)</f>
        <v>9</v>
      </c>
      <c r="C18" s="4" t="n">
        <f aca="false">COUNTIFS('Cas de test'!$B$2:$B$204,$A18,'Cas de test'!$C$2:$C$204,"P1")</f>
        <v>3</v>
      </c>
      <c r="D18" s="4" t="n">
        <f aca="false">COUNTIFS('Cas de test'!$B$2:$B$204,$A18,'Cas de test'!$J$2:$J$204,"À faire")</f>
        <v>9</v>
      </c>
      <c r="E18" s="4" t="n">
        <f aca="false">COUNTIFS('Cas de test'!$B$2:$B$204,$A18,'Cas de test'!$J$2:$J$204,"OK")</f>
        <v>0</v>
      </c>
      <c r="F18" s="4" t="n">
        <f aca="false">COUNTIFS('Cas de test'!$B$2:$B$204,$A18,'Cas de test'!$J$2:$J$204,"KO")</f>
        <v>0</v>
      </c>
      <c r="G18" s="4" t="n">
        <f aca="false">COUNTIFS('Cas de test'!$B$2:$B$204,$A18,'Cas de test'!$J$2:$J$204,"Bloqué")</f>
        <v>0</v>
      </c>
      <c r="H18" s="4" t="n">
        <f aca="false">COUNTIFS('Cas de test'!$B$2:$B$204,$A18,'Cas de test'!$J$2:$J$204,"N/A")</f>
        <v>0</v>
      </c>
      <c r="I18" s="5" t="n">
        <f aca="false">IF(B18=0,0,(B18-D18)/B18)</f>
        <v>0</v>
      </c>
      <c r="J18" s="5" t="n">
        <f aca="false">IF(B18=0,0,E18/B18)</f>
        <v>0</v>
      </c>
    </row>
    <row r="19" customFormat="false" ht="15" hidden="false" customHeight="false" outlineLevel="0" collapsed="false">
      <c r="A19" s="4" t="s">
        <v>26</v>
      </c>
      <c r="B19" s="4" t="n">
        <f aca="false">COUNTIF('Cas de test'!$B$2:$B$204,$A19)</f>
        <v>17</v>
      </c>
      <c r="C19" s="4" t="n">
        <f aca="false">COUNTIFS('Cas de test'!$B$2:$B$204,$A19,'Cas de test'!$C$2:$C$204,"P1")</f>
        <v>14</v>
      </c>
      <c r="D19" s="4" t="n">
        <f aca="false">COUNTIFS('Cas de test'!$B$2:$B$204,$A19,'Cas de test'!$J$2:$J$204,"À faire")</f>
        <v>17</v>
      </c>
      <c r="E19" s="4" t="n">
        <f aca="false">COUNTIFS('Cas de test'!$B$2:$B$204,$A19,'Cas de test'!$J$2:$J$204,"OK")</f>
        <v>0</v>
      </c>
      <c r="F19" s="4" t="n">
        <f aca="false">COUNTIFS('Cas de test'!$B$2:$B$204,$A19,'Cas de test'!$J$2:$J$204,"KO")</f>
        <v>0</v>
      </c>
      <c r="G19" s="4" t="n">
        <f aca="false">COUNTIFS('Cas de test'!$B$2:$B$204,$A19,'Cas de test'!$J$2:$J$204,"Bloqué")</f>
        <v>0</v>
      </c>
      <c r="H19" s="4" t="n">
        <f aca="false">COUNTIFS('Cas de test'!$B$2:$B$204,$A19,'Cas de test'!$J$2:$J$204,"N/A")</f>
        <v>0</v>
      </c>
      <c r="I19" s="5" t="n">
        <f aca="false">IF(B19=0,0,(B19-D19)/B19)</f>
        <v>0</v>
      </c>
      <c r="J19" s="5" t="n">
        <f aca="false">IF(B19=0,0,E19/B19)</f>
        <v>0</v>
      </c>
    </row>
    <row r="20" customFormat="false" ht="15" hidden="false" customHeight="false" outlineLevel="0" collapsed="false">
      <c r="A20" s="4" t="s">
        <v>27</v>
      </c>
      <c r="B20" s="4" t="n">
        <f aca="false">COUNTIF('Cas de test'!$B$2:$B$204,$A20)</f>
        <v>10</v>
      </c>
      <c r="C20" s="4" t="n">
        <f aca="false">COUNTIFS('Cas de test'!$B$2:$B$204,$A20,'Cas de test'!$C$2:$C$204,"P1")</f>
        <v>3</v>
      </c>
      <c r="D20" s="4" t="n">
        <f aca="false">COUNTIFS('Cas de test'!$B$2:$B$204,$A20,'Cas de test'!$J$2:$J$204,"À faire")</f>
        <v>10</v>
      </c>
      <c r="E20" s="4" t="n">
        <f aca="false">COUNTIFS('Cas de test'!$B$2:$B$204,$A20,'Cas de test'!$J$2:$J$204,"OK")</f>
        <v>0</v>
      </c>
      <c r="F20" s="4" t="n">
        <f aca="false">COUNTIFS('Cas de test'!$B$2:$B$204,$A20,'Cas de test'!$J$2:$J$204,"KO")</f>
        <v>0</v>
      </c>
      <c r="G20" s="4" t="n">
        <f aca="false">COUNTIFS('Cas de test'!$B$2:$B$204,$A20,'Cas de test'!$J$2:$J$204,"Bloqué")</f>
        <v>0</v>
      </c>
      <c r="H20" s="4" t="n">
        <f aca="false">COUNTIFS('Cas de test'!$B$2:$B$204,$A20,'Cas de test'!$J$2:$J$204,"N/A")</f>
        <v>0</v>
      </c>
      <c r="I20" s="5" t="n">
        <f aca="false">IF(B20=0,0,(B20-D20)/B20)</f>
        <v>0</v>
      </c>
      <c r="J20" s="5" t="n">
        <f aca="false">IF(B20=0,0,E20/B20)</f>
        <v>0</v>
      </c>
    </row>
    <row r="21" customFormat="false" ht="15" hidden="false" customHeight="false" outlineLevel="0" collapsed="false">
      <c r="A21" s="4" t="s">
        <v>28</v>
      </c>
      <c r="B21" s="4" t="n">
        <f aca="false">COUNTIF('Cas de test'!$B$2:$B$204,$A21)</f>
        <v>6</v>
      </c>
      <c r="C21" s="4" t="n">
        <f aca="false">COUNTIFS('Cas de test'!$B$2:$B$204,$A21,'Cas de test'!$C$2:$C$204,"P1")</f>
        <v>0</v>
      </c>
      <c r="D21" s="4" t="n">
        <f aca="false">COUNTIFS('Cas de test'!$B$2:$B$204,$A21,'Cas de test'!$J$2:$J$204,"À faire")</f>
        <v>6</v>
      </c>
      <c r="E21" s="4" t="n">
        <f aca="false">COUNTIFS('Cas de test'!$B$2:$B$204,$A21,'Cas de test'!$J$2:$J$204,"OK")</f>
        <v>0</v>
      </c>
      <c r="F21" s="4" t="n">
        <f aca="false">COUNTIFS('Cas de test'!$B$2:$B$204,$A21,'Cas de test'!$J$2:$J$204,"KO")</f>
        <v>0</v>
      </c>
      <c r="G21" s="4" t="n">
        <f aca="false">COUNTIFS('Cas de test'!$B$2:$B$204,$A21,'Cas de test'!$J$2:$J$204,"Bloqué")</f>
        <v>0</v>
      </c>
      <c r="H21" s="4" t="n">
        <f aca="false">COUNTIFS('Cas de test'!$B$2:$B$204,$A21,'Cas de test'!$J$2:$J$204,"N/A")</f>
        <v>0</v>
      </c>
      <c r="I21" s="5" t="n">
        <f aca="false">IF(B21=0,0,(B21-D21)/B21)</f>
        <v>0</v>
      </c>
      <c r="J21" s="5" t="n">
        <f aca="false">IF(B21=0,0,E21/B21)</f>
        <v>0</v>
      </c>
    </row>
    <row r="22" customFormat="false" ht="15" hidden="false" customHeight="false" outlineLevel="0" collapsed="false">
      <c r="A22" s="6" t="s">
        <v>29</v>
      </c>
      <c r="B22" s="6" t="n">
        <f aca="false">SUM(B5:B21)</f>
        <v>203</v>
      </c>
      <c r="C22" s="6" t="n">
        <f aca="false">SUM(C5:C21)</f>
        <v>103</v>
      </c>
      <c r="D22" s="6" t="n">
        <f aca="false">SUM(D5:D21)</f>
        <v>203</v>
      </c>
      <c r="E22" s="6" t="n">
        <f aca="false">SUM(E5:E21)</f>
        <v>0</v>
      </c>
      <c r="F22" s="6" t="n">
        <f aca="false">SUM(F5:F21)</f>
        <v>0</v>
      </c>
      <c r="G22" s="6" t="n">
        <f aca="false">SUM(G5:G21)</f>
        <v>0</v>
      </c>
      <c r="H22" s="6" t="n">
        <f aca="false">SUM(H5:H21)</f>
        <v>0</v>
      </c>
      <c r="I22" s="7" t="n">
        <f aca="false">IF(B22=0,0,(B22-D22)/B22)</f>
        <v>0</v>
      </c>
      <c r="J22" s="7" t="n">
        <f aca="false">IF(B22=0,0,E22/B22)</f>
        <v>0</v>
      </c>
    </row>
    <row r="24" customFormat="false" ht="15" hidden="false" customHeight="false" outlineLevel="0" collapsed="false">
      <c r="A24" s="8" t="s">
        <v>30</v>
      </c>
    </row>
    <row r="25" customFormat="false" ht="15" hidden="false" customHeight="false" outlineLevel="0" collapsed="false">
      <c r="A25" s="3" t="s">
        <v>31</v>
      </c>
      <c r="B25" s="3" t="s">
        <v>32</v>
      </c>
      <c r="C25" s="3" t="s">
        <v>33</v>
      </c>
      <c r="D25" s="3" t="s">
        <v>34</v>
      </c>
    </row>
    <row r="26" customFormat="false" ht="15" hidden="false" customHeight="false" outlineLevel="0" collapsed="false">
      <c r="A26" s="4" t="s">
        <v>35</v>
      </c>
      <c r="B26" s="5" t="n">
        <f aca="false">COUNTIFS('Cas de test'!$C$2:$C$204,"P1",'Cas de test'!$J$2:$J$204,"OK")/COUNTIF('Cas de test'!$C$2:$C$204,"P1")</f>
        <v>0</v>
      </c>
      <c r="C26" s="5" t="n">
        <v>1</v>
      </c>
      <c r="D26" s="4" t="str">
        <f aca="false">IF(B26&gt;=C26,"Oui","Non")</f>
        <v>Non</v>
      </c>
    </row>
    <row r="27" customFormat="false" ht="15" hidden="false" customHeight="false" outlineLevel="0" collapsed="false">
      <c r="A27" s="4" t="s">
        <v>36</v>
      </c>
      <c r="B27" s="5" t="n">
        <f aca="false">1-COUNTIFS('Cas de test'!$C$2:$C$204,"P2",'Cas de test'!$J$2:$J$204,"À faire")/COUNTIF('Cas de test'!$C$2:$C$204,"P2")</f>
        <v>0</v>
      </c>
      <c r="C27" s="5" t="n">
        <v>0.9</v>
      </c>
      <c r="D27" s="4" t="str">
        <f aca="false">IF(B27&gt;=C27,"Oui","Non")</f>
        <v>Non</v>
      </c>
    </row>
    <row r="28" customFormat="false" ht="15" hidden="false" customHeight="false" outlineLevel="0" collapsed="false">
      <c r="A28" s="4" t="s">
        <v>37</v>
      </c>
      <c r="B28" s="9" t="n">
        <f aca="false">COUNTIFS('Cas de test'!$C$2:$C$204,"P1",'Cas de test'!$J$2:$J$204,"KO")</f>
        <v>0</v>
      </c>
      <c r="C28" s="9" t="n">
        <v>0</v>
      </c>
      <c r="D28" s="4" t="str">
        <f aca="false">IF(B28=C28,"Oui","Non")</f>
        <v>Oui</v>
      </c>
    </row>
    <row r="30" customFormat="false" ht="15" hidden="false" customHeight="false" outlineLevel="0" collapsed="false">
      <c r="A30" s="2"/>
    </row>
    <row r="31" customFormat="false" ht="15" hidden="false" customHeight="false" outlineLevel="0" collapsed="false">
      <c r="A31" s="4" t="s">
        <v>38</v>
      </c>
      <c r="B31" s="4" t="n">
        <f aca="false">COUNTIFS(Anomalies!$C$2:$C$59,"S1",Anomalies!$J$2:$J$59,"Ouverte")+COUNTIFS(Anomalies!$C$2:$C$59,"S2",Anomalies!$J$2:$J$59,"Ouverte")</f>
        <v>0</v>
      </c>
      <c r="C31" s="4" t="n">
        <v>0</v>
      </c>
      <c r="D31" s="4" t="str">
        <f aca="false">IF(B31=C31,"Oui","Non")</f>
        <v>Oui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10"/>
    <col collapsed="false" customWidth="true" hidden="false" outlineLevel="0" max="5" min="5" style="0" width="34"/>
    <col collapsed="false" customWidth="true" hidden="false" outlineLevel="0" max="7" min="6" style="0" width="50"/>
    <col collapsed="false" customWidth="true" hidden="false" outlineLevel="0" max="8" min="8" style="0" width="14"/>
    <col collapsed="false" customWidth="true" hidden="false" outlineLevel="0" max="11" min="9" style="0" width="12"/>
    <col collapsed="false" customWidth="true" hidden="false" outlineLevel="0" max="12" min="12" style="0" width="36"/>
  </cols>
  <sheetData>
    <row r="1" customFormat="false" ht="39.55" hidden="false" customHeight="false" outlineLevel="0" collapsed="false">
      <c r="A1" s="3" t="s">
        <v>39</v>
      </c>
      <c r="B1" s="3" t="s">
        <v>2</v>
      </c>
      <c r="C1" s="3" t="s">
        <v>40</v>
      </c>
      <c r="D1" s="3" t="s">
        <v>41</v>
      </c>
      <c r="E1" s="3" t="s">
        <v>42</v>
      </c>
      <c r="F1" s="3" t="s">
        <v>43</v>
      </c>
      <c r="G1" s="3" t="s">
        <v>44</v>
      </c>
      <c r="H1" s="3" t="s">
        <v>45</v>
      </c>
      <c r="I1" s="3" t="s">
        <v>46</v>
      </c>
      <c r="J1" s="3" t="s">
        <v>47</v>
      </c>
      <c r="K1" s="3" t="s">
        <v>48</v>
      </c>
      <c r="L1" s="3" t="s">
        <v>49</v>
      </c>
    </row>
    <row r="2" customFormat="false" ht="23.85" hidden="false" customHeight="false" outlineLevel="0" collapsed="false">
      <c r="A2" s="10" t="s">
        <v>50</v>
      </c>
      <c r="B2" s="10" t="s">
        <v>12</v>
      </c>
      <c r="C2" s="10" t="s">
        <v>51</v>
      </c>
      <c r="D2" s="10" t="s">
        <v>52</v>
      </c>
      <c r="E2" s="10" t="s">
        <v>53</v>
      </c>
      <c r="F2" s="10" t="s">
        <v>54</v>
      </c>
      <c r="G2" s="10" t="s">
        <v>55</v>
      </c>
      <c r="H2" s="11"/>
      <c r="I2" s="12"/>
      <c r="J2" s="11" t="s">
        <v>5</v>
      </c>
      <c r="K2" s="11"/>
      <c r="L2" s="11"/>
    </row>
    <row r="3" customFormat="false" ht="23.85" hidden="false" customHeight="false" outlineLevel="0" collapsed="false">
      <c r="A3" s="10" t="s">
        <v>56</v>
      </c>
      <c r="B3" s="10" t="s">
        <v>12</v>
      </c>
      <c r="C3" s="10" t="s">
        <v>51</v>
      </c>
      <c r="D3" s="10" t="s">
        <v>57</v>
      </c>
      <c r="E3" s="10" t="s">
        <v>58</v>
      </c>
      <c r="F3" s="10" t="s">
        <v>59</v>
      </c>
      <c r="G3" s="10" t="s">
        <v>60</v>
      </c>
      <c r="H3" s="11"/>
      <c r="I3" s="12"/>
      <c r="J3" s="11" t="s">
        <v>5</v>
      </c>
      <c r="K3" s="11"/>
      <c r="L3" s="11"/>
    </row>
    <row r="4" customFormat="false" ht="23.85" hidden="false" customHeight="false" outlineLevel="0" collapsed="false">
      <c r="A4" s="10" t="s">
        <v>61</v>
      </c>
      <c r="B4" s="10" t="s">
        <v>12</v>
      </c>
      <c r="C4" s="10" t="s">
        <v>51</v>
      </c>
      <c r="D4" s="10" t="s">
        <v>57</v>
      </c>
      <c r="E4" s="10" t="s">
        <v>62</v>
      </c>
      <c r="F4" s="10" t="s">
        <v>63</v>
      </c>
      <c r="G4" s="10" t="s">
        <v>64</v>
      </c>
      <c r="H4" s="11"/>
      <c r="I4" s="12"/>
      <c r="J4" s="11" t="s">
        <v>5</v>
      </c>
      <c r="K4" s="11"/>
      <c r="L4" s="11"/>
    </row>
    <row r="5" customFormat="false" ht="15" hidden="false" customHeight="false" outlineLevel="0" collapsed="false">
      <c r="A5" s="10" t="s">
        <v>65</v>
      </c>
      <c r="B5" s="10" t="s">
        <v>12</v>
      </c>
      <c r="C5" s="10" t="s">
        <v>51</v>
      </c>
      <c r="D5" s="10" t="s">
        <v>66</v>
      </c>
      <c r="E5" s="10" t="s">
        <v>67</v>
      </c>
      <c r="F5" s="10" t="s">
        <v>68</v>
      </c>
      <c r="G5" s="10" t="s">
        <v>69</v>
      </c>
      <c r="H5" s="11"/>
      <c r="I5" s="12"/>
      <c r="J5" s="11" t="s">
        <v>5</v>
      </c>
      <c r="K5" s="11"/>
      <c r="L5" s="11"/>
    </row>
    <row r="6" customFormat="false" ht="23.85" hidden="false" customHeight="false" outlineLevel="0" collapsed="false">
      <c r="A6" s="10" t="s">
        <v>70</v>
      </c>
      <c r="B6" s="10" t="s">
        <v>12</v>
      </c>
      <c r="C6" s="10" t="s">
        <v>51</v>
      </c>
      <c r="D6" s="10" t="s">
        <v>66</v>
      </c>
      <c r="E6" s="10" t="s">
        <v>71</v>
      </c>
      <c r="F6" s="10" t="s">
        <v>72</v>
      </c>
      <c r="G6" s="10" t="s">
        <v>73</v>
      </c>
      <c r="H6" s="11"/>
      <c r="I6" s="12"/>
      <c r="J6" s="11" t="s">
        <v>5</v>
      </c>
      <c r="K6" s="11"/>
      <c r="L6" s="11"/>
    </row>
    <row r="7" customFormat="false" ht="23.85" hidden="false" customHeight="false" outlineLevel="0" collapsed="false">
      <c r="A7" s="10" t="s">
        <v>74</v>
      </c>
      <c r="B7" s="10" t="s">
        <v>12</v>
      </c>
      <c r="C7" s="10" t="s">
        <v>75</v>
      </c>
      <c r="D7" s="10" t="s">
        <v>66</v>
      </c>
      <c r="E7" s="10" t="s">
        <v>76</v>
      </c>
      <c r="F7" s="10" t="s">
        <v>77</v>
      </c>
      <c r="G7" s="10" t="s">
        <v>78</v>
      </c>
      <c r="H7" s="11"/>
      <c r="I7" s="12"/>
      <c r="J7" s="11" t="s">
        <v>5</v>
      </c>
      <c r="K7" s="11"/>
      <c r="L7" s="11"/>
    </row>
    <row r="8" customFormat="false" ht="15" hidden="false" customHeight="false" outlineLevel="0" collapsed="false">
      <c r="A8" s="10" t="s">
        <v>79</v>
      </c>
      <c r="B8" s="10" t="s">
        <v>12</v>
      </c>
      <c r="C8" s="10" t="s">
        <v>75</v>
      </c>
      <c r="D8" s="10" t="s">
        <v>57</v>
      </c>
      <c r="E8" s="10" t="s">
        <v>80</v>
      </c>
      <c r="F8" s="10" t="s">
        <v>81</v>
      </c>
      <c r="G8" s="10" t="s">
        <v>82</v>
      </c>
      <c r="H8" s="11"/>
      <c r="I8" s="12"/>
      <c r="J8" s="11" t="s">
        <v>5</v>
      </c>
      <c r="K8" s="11"/>
      <c r="L8" s="11"/>
    </row>
    <row r="9" customFormat="false" ht="23.85" hidden="false" customHeight="false" outlineLevel="0" collapsed="false">
      <c r="A9" s="10" t="s">
        <v>83</v>
      </c>
      <c r="B9" s="10" t="s">
        <v>12</v>
      </c>
      <c r="C9" s="10" t="s">
        <v>51</v>
      </c>
      <c r="D9" s="10" t="s">
        <v>84</v>
      </c>
      <c r="E9" s="10" t="s">
        <v>85</v>
      </c>
      <c r="F9" s="10" t="s">
        <v>86</v>
      </c>
      <c r="G9" s="10" t="s">
        <v>87</v>
      </c>
      <c r="H9" s="11"/>
      <c r="I9" s="12"/>
      <c r="J9" s="11" t="s">
        <v>5</v>
      </c>
      <c r="K9" s="11"/>
      <c r="L9" s="11"/>
    </row>
    <row r="10" customFormat="false" ht="15" hidden="false" customHeight="false" outlineLevel="0" collapsed="false">
      <c r="A10" s="10" t="s">
        <v>88</v>
      </c>
      <c r="B10" s="10" t="s">
        <v>12</v>
      </c>
      <c r="C10" s="10" t="s">
        <v>75</v>
      </c>
      <c r="D10" s="10" t="s">
        <v>57</v>
      </c>
      <c r="E10" s="10" t="s">
        <v>89</v>
      </c>
      <c r="F10" s="10" t="s">
        <v>90</v>
      </c>
      <c r="G10" s="10" t="s">
        <v>91</v>
      </c>
      <c r="H10" s="11"/>
      <c r="I10" s="12"/>
      <c r="J10" s="11" t="s">
        <v>5</v>
      </c>
      <c r="K10" s="11"/>
      <c r="L10" s="11"/>
    </row>
    <row r="11" customFormat="false" ht="15" hidden="false" customHeight="false" outlineLevel="0" collapsed="false">
      <c r="A11" s="10" t="s">
        <v>92</v>
      </c>
      <c r="B11" s="10" t="s">
        <v>12</v>
      </c>
      <c r="C11" s="10" t="s">
        <v>75</v>
      </c>
      <c r="D11" s="10" t="s">
        <v>57</v>
      </c>
      <c r="E11" s="10" t="s">
        <v>93</v>
      </c>
      <c r="F11" s="10" t="s">
        <v>94</v>
      </c>
      <c r="G11" s="10" t="s">
        <v>95</v>
      </c>
      <c r="H11" s="11"/>
      <c r="I11" s="12"/>
      <c r="J11" s="11" t="s">
        <v>5</v>
      </c>
      <c r="K11" s="11"/>
      <c r="L11" s="11"/>
    </row>
    <row r="12" customFormat="false" ht="23.85" hidden="false" customHeight="false" outlineLevel="0" collapsed="false">
      <c r="A12" s="10" t="s">
        <v>96</v>
      </c>
      <c r="B12" s="10" t="s">
        <v>12</v>
      </c>
      <c r="C12" s="10" t="s">
        <v>75</v>
      </c>
      <c r="D12" s="10" t="s">
        <v>84</v>
      </c>
      <c r="E12" s="10" t="s">
        <v>97</v>
      </c>
      <c r="F12" s="10" t="s">
        <v>98</v>
      </c>
      <c r="G12" s="10" t="s">
        <v>99</v>
      </c>
      <c r="H12" s="11"/>
      <c r="I12" s="12"/>
      <c r="J12" s="11" t="s">
        <v>5</v>
      </c>
      <c r="K12" s="11"/>
      <c r="L12" s="11"/>
    </row>
    <row r="13" customFormat="false" ht="23.85" hidden="false" customHeight="false" outlineLevel="0" collapsed="false">
      <c r="A13" s="10" t="s">
        <v>100</v>
      </c>
      <c r="B13" s="10" t="s">
        <v>12</v>
      </c>
      <c r="C13" s="10" t="s">
        <v>75</v>
      </c>
      <c r="D13" s="10" t="s">
        <v>66</v>
      </c>
      <c r="E13" s="10" t="s">
        <v>101</v>
      </c>
      <c r="F13" s="10" t="s">
        <v>102</v>
      </c>
      <c r="G13" s="10" t="s">
        <v>103</v>
      </c>
      <c r="H13" s="11"/>
      <c r="I13" s="12"/>
      <c r="J13" s="11" t="s">
        <v>5</v>
      </c>
      <c r="K13" s="11"/>
      <c r="L13" s="11"/>
    </row>
    <row r="14" customFormat="false" ht="15" hidden="false" customHeight="false" outlineLevel="0" collapsed="false">
      <c r="A14" s="10" t="s">
        <v>104</v>
      </c>
      <c r="B14" s="10" t="s">
        <v>12</v>
      </c>
      <c r="C14" s="10" t="s">
        <v>105</v>
      </c>
      <c r="D14" s="10" t="s">
        <v>66</v>
      </c>
      <c r="E14" s="10" t="s">
        <v>106</v>
      </c>
      <c r="F14" s="10" t="s">
        <v>107</v>
      </c>
      <c r="G14" s="10" t="s">
        <v>108</v>
      </c>
      <c r="H14" s="11"/>
      <c r="I14" s="12"/>
      <c r="J14" s="11" t="s">
        <v>5</v>
      </c>
      <c r="K14" s="11"/>
      <c r="L14" s="11"/>
    </row>
    <row r="15" customFormat="false" ht="15" hidden="false" customHeight="false" outlineLevel="0" collapsed="false">
      <c r="A15" s="10" t="s">
        <v>109</v>
      </c>
      <c r="B15" s="10" t="s">
        <v>12</v>
      </c>
      <c r="C15" s="10" t="s">
        <v>75</v>
      </c>
      <c r="D15" s="10" t="s">
        <v>57</v>
      </c>
      <c r="E15" s="10" t="s">
        <v>110</v>
      </c>
      <c r="F15" s="10" t="s">
        <v>111</v>
      </c>
      <c r="G15" s="10" t="s">
        <v>112</v>
      </c>
      <c r="H15" s="11"/>
      <c r="I15" s="12"/>
      <c r="J15" s="11" t="s">
        <v>5</v>
      </c>
      <c r="K15" s="11"/>
      <c r="L15" s="11"/>
    </row>
    <row r="16" customFormat="false" ht="15" hidden="false" customHeight="false" outlineLevel="0" collapsed="false">
      <c r="A16" s="10" t="s">
        <v>113</v>
      </c>
      <c r="B16" s="10" t="s">
        <v>13</v>
      </c>
      <c r="C16" s="10" t="s">
        <v>51</v>
      </c>
      <c r="D16" s="10" t="s">
        <v>66</v>
      </c>
      <c r="E16" s="10" t="s">
        <v>114</v>
      </c>
      <c r="F16" s="10" t="s">
        <v>115</v>
      </c>
      <c r="G16" s="10" t="s">
        <v>116</v>
      </c>
      <c r="H16" s="11"/>
      <c r="I16" s="12"/>
      <c r="J16" s="11" t="s">
        <v>5</v>
      </c>
      <c r="K16" s="11"/>
      <c r="L16" s="11"/>
    </row>
    <row r="17" customFormat="false" ht="15" hidden="false" customHeight="false" outlineLevel="0" collapsed="false">
      <c r="A17" s="10" t="s">
        <v>117</v>
      </c>
      <c r="B17" s="10" t="s">
        <v>13</v>
      </c>
      <c r="C17" s="10" t="s">
        <v>51</v>
      </c>
      <c r="D17" s="10" t="s">
        <v>57</v>
      </c>
      <c r="E17" s="10" t="s">
        <v>118</v>
      </c>
      <c r="F17" s="10" t="s">
        <v>119</v>
      </c>
      <c r="G17" s="10" t="s">
        <v>120</v>
      </c>
      <c r="H17" s="11"/>
      <c r="I17" s="12"/>
      <c r="J17" s="11" t="s">
        <v>5</v>
      </c>
      <c r="K17" s="11"/>
      <c r="L17" s="11"/>
    </row>
    <row r="18" customFormat="false" ht="23.85" hidden="false" customHeight="false" outlineLevel="0" collapsed="false">
      <c r="A18" s="10" t="s">
        <v>121</v>
      </c>
      <c r="B18" s="10" t="s">
        <v>13</v>
      </c>
      <c r="C18" s="10" t="s">
        <v>51</v>
      </c>
      <c r="D18" s="10" t="s">
        <v>57</v>
      </c>
      <c r="E18" s="10" t="s">
        <v>122</v>
      </c>
      <c r="F18" s="10" t="s">
        <v>123</v>
      </c>
      <c r="G18" s="10" t="s">
        <v>124</v>
      </c>
      <c r="H18" s="11"/>
      <c r="I18" s="12"/>
      <c r="J18" s="11" t="s">
        <v>5</v>
      </c>
      <c r="K18" s="11"/>
      <c r="L18" s="11"/>
    </row>
    <row r="19" customFormat="false" ht="35.05" hidden="false" customHeight="false" outlineLevel="0" collapsed="false">
      <c r="A19" s="10" t="s">
        <v>125</v>
      </c>
      <c r="B19" s="10" t="s">
        <v>13</v>
      </c>
      <c r="C19" s="10" t="s">
        <v>51</v>
      </c>
      <c r="D19" s="10" t="s">
        <v>52</v>
      </c>
      <c r="E19" s="10" t="s">
        <v>126</v>
      </c>
      <c r="F19" s="10" t="s">
        <v>127</v>
      </c>
      <c r="G19" s="10" t="s">
        <v>128</v>
      </c>
      <c r="H19" s="11"/>
      <c r="I19" s="12"/>
      <c r="J19" s="11" t="s">
        <v>5</v>
      </c>
      <c r="K19" s="11"/>
      <c r="L19" s="11"/>
    </row>
    <row r="20" customFormat="false" ht="15" hidden="false" customHeight="false" outlineLevel="0" collapsed="false">
      <c r="A20" s="10" t="s">
        <v>129</v>
      </c>
      <c r="B20" s="10" t="s">
        <v>13</v>
      </c>
      <c r="C20" s="10" t="s">
        <v>51</v>
      </c>
      <c r="D20" s="10" t="s">
        <v>52</v>
      </c>
      <c r="E20" s="10" t="s">
        <v>130</v>
      </c>
      <c r="F20" s="10" t="s">
        <v>131</v>
      </c>
      <c r="G20" s="10" t="s">
        <v>132</v>
      </c>
      <c r="H20" s="11"/>
      <c r="I20" s="12"/>
      <c r="J20" s="11" t="s">
        <v>5</v>
      </c>
      <c r="K20" s="11"/>
      <c r="L20" s="11"/>
    </row>
    <row r="21" customFormat="false" ht="35.05" hidden="false" customHeight="false" outlineLevel="0" collapsed="false">
      <c r="A21" s="10" t="s">
        <v>133</v>
      </c>
      <c r="B21" s="10" t="s">
        <v>13</v>
      </c>
      <c r="C21" s="10" t="s">
        <v>75</v>
      </c>
      <c r="D21" s="10" t="s">
        <v>52</v>
      </c>
      <c r="E21" s="10" t="s">
        <v>134</v>
      </c>
      <c r="F21" s="10" t="s">
        <v>135</v>
      </c>
      <c r="G21" s="10" t="s">
        <v>136</v>
      </c>
      <c r="H21" s="11"/>
      <c r="I21" s="12"/>
      <c r="J21" s="11" t="s">
        <v>5</v>
      </c>
      <c r="K21" s="11"/>
      <c r="L21" s="11"/>
    </row>
    <row r="22" customFormat="false" ht="23.85" hidden="false" customHeight="false" outlineLevel="0" collapsed="false">
      <c r="A22" s="10" t="s">
        <v>137</v>
      </c>
      <c r="B22" s="10" t="s">
        <v>13</v>
      </c>
      <c r="C22" s="10" t="s">
        <v>75</v>
      </c>
      <c r="D22" s="10" t="s">
        <v>52</v>
      </c>
      <c r="E22" s="10" t="s">
        <v>138</v>
      </c>
      <c r="F22" s="10" t="s">
        <v>139</v>
      </c>
      <c r="G22" s="10" t="s">
        <v>140</v>
      </c>
      <c r="H22" s="11"/>
      <c r="I22" s="12"/>
      <c r="J22" s="11" t="s">
        <v>5</v>
      </c>
      <c r="K22" s="11"/>
      <c r="L22" s="11"/>
    </row>
    <row r="23" customFormat="false" ht="15" hidden="false" customHeight="false" outlineLevel="0" collapsed="false">
      <c r="A23" s="10" t="s">
        <v>141</v>
      </c>
      <c r="B23" s="10" t="s">
        <v>13</v>
      </c>
      <c r="C23" s="10" t="s">
        <v>75</v>
      </c>
      <c r="D23" s="10" t="s">
        <v>52</v>
      </c>
      <c r="E23" s="10" t="s">
        <v>142</v>
      </c>
      <c r="F23" s="10" t="s">
        <v>143</v>
      </c>
      <c r="G23" s="10" t="s">
        <v>144</v>
      </c>
      <c r="H23" s="11"/>
      <c r="I23" s="12"/>
      <c r="J23" s="11" t="s">
        <v>5</v>
      </c>
      <c r="K23" s="11"/>
      <c r="L23" s="11"/>
    </row>
    <row r="24" customFormat="false" ht="15" hidden="false" customHeight="false" outlineLevel="0" collapsed="false">
      <c r="A24" s="10" t="s">
        <v>145</v>
      </c>
      <c r="B24" s="10" t="s">
        <v>13</v>
      </c>
      <c r="C24" s="10" t="s">
        <v>51</v>
      </c>
      <c r="D24" s="10" t="s">
        <v>52</v>
      </c>
      <c r="E24" s="10" t="s">
        <v>146</v>
      </c>
      <c r="F24" s="10" t="s">
        <v>147</v>
      </c>
      <c r="G24" s="10" t="s">
        <v>148</v>
      </c>
      <c r="H24" s="11"/>
      <c r="I24" s="12"/>
      <c r="J24" s="11" t="s">
        <v>5</v>
      </c>
      <c r="K24" s="11"/>
      <c r="L24" s="11"/>
    </row>
    <row r="25" customFormat="false" ht="35.05" hidden="false" customHeight="false" outlineLevel="0" collapsed="false">
      <c r="A25" s="10" t="s">
        <v>149</v>
      </c>
      <c r="B25" s="10" t="s">
        <v>13</v>
      </c>
      <c r="C25" s="10" t="s">
        <v>75</v>
      </c>
      <c r="D25" s="10" t="s">
        <v>52</v>
      </c>
      <c r="E25" s="10" t="s">
        <v>150</v>
      </c>
      <c r="F25" s="10" t="s">
        <v>151</v>
      </c>
      <c r="G25" s="10" t="s">
        <v>152</v>
      </c>
      <c r="H25" s="11"/>
      <c r="I25" s="12"/>
      <c r="J25" s="11" t="s">
        <v>5</v>
      </c>
      <c r="K25" s="11"/>
      <c r="L25" s="11"/>
    </row>
    <row r="26" customFormat="false" ht="23.85" hidden="false" customHeight="false" outlineLevel="0" collapsed="false">
      <c r="A26" s="10" t="s">
        <v>153</v>
      </c>
      <c r="B26" s="10" t="s">
        <v>13</v>
      </c>
      <c r="C26" s="10" t="s">
        <v>51</v>
      </c>
      <c r="D26" s="10" t="s">
        <v>66</v>
      </c>
      <c r="E26" s="10" t="s">
        <v>154</v>
      </c>
      <c r="F26" s="10" t="s">
        <v>155</v>
      </c>
      <c r="G26" s="10" t="s">
        <v>156</v>
      </c>
      <c r="H26" s="11"/>
      <c r="I26" s="12"/>
      <c r="J26" s="11" t="s">
        <v>5</v>
      </c>
      <c r="K26" s="11"/>
      <c r="L26" s="11"/>
    </row>
    <row r="27" customFormat="false" ht="35.05" hidden="false" customHeight="false" outlineLevel="0" collapsed="false">
      <c r="A27" s="10" t="s">
        <v>157</v>
      </c>
      <c r="B27" s="10" t="s">
        <v>14</v>
      </c>
      <c r="C27" s="10" t="s">
        <v>51</v>
      </c>
      <c r="D27" s="10" t="s">
        <v>66</v>
      </c>
      <c r="E27" s="10" t="s">
        <v>158</v>
      </c>
      <c r="F27" s="10" t="s">
        <v>159</v>
      </c>
      <c r="G27" s="10" t="s">
        <v>160</v>
      </c>
      <c r="H27" s="11"/>
      <c r="I27" s="12"/>
      <c r="J27" s="11" t="s">
        <v>5</v>
      </c>
      <c r="K27" s="11"/>
      <c r="L27" s="11"/>
    </row>
    <row r="28" customFormat="false" ht="23.85" hidden="false" customHeight="false" outlineLevel="0" collapsed="false">
      <c r="A28" s="10" t="s">
        <v>161</v>
      </c>
      <c r="B28" s="10" t="s">
        <v>14</v>
      </c>
      <c r="C28" s="10" t="s">
        <v>51</v>
      </c>
      <c r="D28" s="10" t="s">
        <v>66</v>
      </c>
      <c r="E28" s="10" t="s">
        <v>162</v>
      </c>
      <c r="F28" s="10" t="s">
        <v>163</v>
      </c>
      <c r="G28" s="10" t="s">
        <v>164</v>
      </c>
      <c r="H28" s="11"/>
      <c r="I28" s="12"/>
      <c r="J28" s="11" t="s">
        <v>5</v>
      </c>
      <c r="K28" s="11"/>
      <c r="L28" s="11"/>
    </row>
    <row r="29" customFormat="false" ht="23.85" hidden="false" customHeight="false" outlineLevel="0" collapsed="false">
      <c r="A29" s="10" t="s">
        <v>165</v>
      </c>
      <c r="B29" s="10" t="s">
        <v>14</v>
      </c>
      <c r="C29" s="10" t="s">
        <v>51</v>
      </c>
      <c r="D29" s="10" t="s">
        <v>66</v>
      </c>
      <c r="E29" s="10" t="s">
        <v>166</v>
      </c>
      <c r="F29" s="10" t="s">
        <v>167</v>
      </c>
      <c r="G29" s="10" t="s">
        <v>168</v>
      </c>
      <c r="H29" s="11"/>
      <c r="I29" s="12"/>
      <c r="J29" s="11" t="s">
        <v>5</v>
      </c>
      <c r="K29" s="11"/>
      <c r="L29" s="11"/>
    </row>
    <row r="30" customFormat="false" ht="15" hidden="false" customHeight="false" outlineLevel="0" collapsed="false">
      <c r="A30" s="10" t="s">
        <v>169</v>
      </c>
      <c r="B30" s="10" t="s">
        <v>14</v>
      </c>
      <c r="C30" s="10" t="s">
        <v>75</v>
      </c>
      <c r="D30" s="10" t="s">
        <v>66</v>
      </c>
      <c r="E30" s="10" t="s">
        <v>170</v>
      </c>
      <c r="F30" s="10" t="s">
        <v>171</v>
      </c>
      <c r="G30" s="10" t="s">
        <v>172</v>
      </c>
      <c r="H30" s="11"/>
      <c r="I30" s="12"/>
      <c r="J30" s="11" t="s">
        <v>5</v>
      </c>
      <c r="K30" s="11"/>
      <c r="L30" s="11"/>
    </row>
    <row r="31" customFormat="false" ht="23.85" hidden="false" customHeight="false" outlineLevel="0" collapsed="false">
      <c r="A31" s="10" t="s">
        <v>173</v>
      </c>
      <c r="B31" s="10" t="s">
        <v>14</v>
      </c>
      <c r="C31" s="10" t="s">
        <v>51</v>
      </c>
      <c r="D31" s="10" t="s">
        <v>66</v>
      </c>
      <c r="E31" s="10" t="s">
        <v>174</v>
      </c>
      <c r="F31" s="10" t="s">
        <v>175</v>
      </c>
      <c r="G31" s="10" t="s">
        <v>176</v>
      </c>
      <c r="H31" s="11"/>
      <c r="I31" s="12"/>
      <c r="J31" s="11" t="s">
        <v>5</v>
      </c>
      <c r="K31" s="11"/>
      <c r="L31" s="11"/>
    </row>
    <row r="32" customFormat="false" ht="23.85" hidden="false" customHeight="false" outlineLevel="0" collapsed="false">
      <c r="A32" s="10" t="s">
        <v>177</v>
      </c>
      <c r="B32" s="10" t="s">
        <v>14</v>
      </c>
      <c r="C32" s="10" t="s">
        <v>51</v>
      </c>
      <c r="D32" s="10" t="s">
        <v>66</v>
      </c>
      <c r="E32" s="10" t="s">
        <v>178</v>
      </c>
      <c r="F32" s="10" t="s">
        <v>179</v>
      </c>
      <c r="G32" s="10" t="s">
        <v>180</v>
      </c>
      <c r="H32" s="11"/>
      <c r="I32" s="12"/>
      <c r="J32" s="11" t="s">
        <v>5</v>
      </c>
      <c r="K32" s="11"/>
      <c r="L32" s="11"/>
    </row>
    <row r="33" customFormat="false" ht="15" hidden="false" customHeight="false" outlineLevel="0" collapsed="false">
      <c r="A33" s="10" t="s">
        <v>181</v>
      </c>
      <c r="B33" s="10" t="s">
        <v>14</v>
      </c>
      <c r="C33" s="10" t="s">
        <v>51</v>
      </c>
      <c r="D33" s="10" t="s">
        <v>66</v>
      </c>
      <c r="E33" s="10" t="s">
        <v>182</v>
      </c>
      <c r="F33" s="10" t="s">
        <v>183</v>
      </c>
      <c r="G33" s="10" t="s">
        <v>184</v>
      </c>
      <c r="H33" s="11"/>
      <c r="I33" s="12"/>
      <c r="J33" s="11" t="s">
        <v>5</v>
      </c>
      <c r="K33" s="11"/>
      <c r="L33" s="11"/>
    </row>
    <row r="34" customFormat="false" ht="23.85" hidden="false" customHeight="false" outlineLevel="0" collapsed="false">
      <c r="A34" s="10" t="s">
        <v>185</v>
      </c>
      <c r="B34" s="10" t="s">
        <v>14</v>
      </c>
      <c r="C34" s="10" t="s">
        <v>51</v>
      </c>
      <c r="D34" s="10" t="s">
        <v>66</v>
      </c>
      <c r="E34" s="10" t="s">
        <v>186</v>
      </c>
      <c r="F34" s="10" t="s">
        <v>187</v>
      </c>
      <c r="G34" s="10" t="s">
        <v>188</v>
      </c>
      <c r="H34" s="11"/>
      <c r="I34" s="12"/>
      <c r="J34" s="11" t="s">
        <v>5</v>
      </c>
      <c r="K34" s="11"/>
      <c r="L34" s="11"/>
    </row>
    <row r="35" customFormat="false" ht="15" hidden="false" customHeight="false" outlineLevel="0" collapsed="false">
      <c r="A35" s="10" t="s">
        <v>189</v>
      </c>
      <c r="B35" s="10" t="s">
        <v>14</v>
      </c>
      <c r="C35" s="10" t="s">
        <v>51</v>
      </c>
      <c r="D35" s="10" t="s">
        <v>66</v>
      </c>
      <c r="E35" s="10" t="s">
        <v>190</v>
      </c>
      <c r="F35" s="10" t="s">
        <v>191</v>
      </c>
      <c r="G35" s="10" t="s">
        <v>192</v>
      </c>
      <c r="H35" s="11"/>
      <c r="I35" s="12"/>
      <c r="J35" s="11" t="s">
        <v>5</v>
      </c>
      <c r="K35" s="11"/>
      <c r="L35" s="11"/>
    </row>
    <row r="36" customFormat="false" ht="15" hidden="false" customHeight="false" outlineLevel="0" collapsed="false">
      <c r="A36" s="10" t="s">
        <v>193</v>
      </c>
      <c r="B36" s="10" t="s">
        <v>14</v>
      </c>
      <c r="C36" s="10" t="s">
        <v>75</v>
      </c>
      <c r="D36" s="10" t="s">
        <v>66</v>
      </c>
      <c r="E36" s="10" t="s">
        <v>194</v>
      </c>
      <c r="F36" s="10" t="s">
        <v>195</v>
      </c>
      <c r="G36" s="10" t="s">
        <v>196</v>
      </c>
      <c r="H36" s="11"/>
      <c r="I36" s="12"/>
      <c r="J36" s="11" t="s">
        <v>5</v>
      </c>
      <c r="K36" s="11"/>
      <c r="L36" s="11"/>
    </row>
    <row r="37" customFormat="false" ht="35.05" hidden="false" customHeight="false" outlineLevel="0" collapsed="false">
      <c r="A37" s="10" t="s">
        <v>197</v>
      </c>
      <c r="B37" s="10" t="s">
        <v>14</v>
      </c>
      <c r="C37" s="10" t="s">
        <v>75</v>
      </c>
      <c r="D37" s="10" t="s">
        <v>66</v>
      </c>
      <c r="E37" s="10" t="s">
        <v>198</v>
      </c>
      <c r="F37" s="10" t="s">
        <v>199</v>
      </c>
      <c r="G37" s="10" t="s">
        <v>200</v>
      </c>
      <c r="H37" s="11"/>
      <c r="I37" s="12"/>
      <c r="J37" s="11" t="s">
        <v>5</v>
      </c>
      <c r="K37" s="11"/>
      <c r="L37" s="11"/>
    </row>
    <row r="38" customFormat="false" ht="23.85" hidden="false" customHeight="false" outlineLevel="0" collapsed="false">
      <c r="A38" s="10" t="s">
        <v>201</v>
      </c>
      <c r="B38" s="10" t="s">
        <v>14</v>
      </c>
      <c r="C38" s="10" t="s">
        <v>51</v>
      </c>
      <c r="D38" s="10" t="s">
        <v>52</v>
      </c>
      <c r="E38" s="10" t="s">
        <v>202</v>
      </c>
      <c r="F38" s="10" t="s">
        <v>203</v>
      </c>
      <c r="G38" s="10" t="s">
        <v>204</v>
      </c>
      <c r="H38" s="11"/>
      <c r="I38" s="12"/>
      <c r="J38" s="11" t="s">
        <v>5</v>
      </c>
      <c r="K38" s="11"/>
      <c r="L38" s="11"/>
    </row>
    <row r="39" customFormat="false" ht="23.85" hidden="false" customHeight="false" outlineLevel="0" collapsed="false">
      <c r="A39" s="10" t="s">
        <v>205</v>
      </c>
      <c r="B39" s="10" t="s">
        <v>14</v>
      </c>
      <c r="C39" s="10" t="s">
        <v>75</v>
      </c>
      <c r="D39" s="10" t="s">
        <v>52</v>
      </c>
      <c r="E39" s="10" t="s">
        <v>206</v>
      </c>
      <c r="F39" s="10" t="s">
        <v>207</v>
      </c>
      <c r="G39" s="10" t="s">
        <v>208</v>
      </c>
      <c r="H39" s="11"/>
      <c r="I39" s="12"/>
      <c r="J39" s="11" t="s">
        <v>5</v>
      </c>
      <c r="K39" s="11"/>
      <c r="L39" s="11"/>
    </row>
    <row r="40" customFormat="false" ht="23.85" hidden="false" customHeight="false" outlineLevel="0" collapsed="false">
      <c r="A40" s="10" t="s">
        <v>209</v>
      </c>
      <c r="B40" s="10" t="s">
        <v>14</v>
      </c>
      <c r="C40" s="10" t="s">
        <v>75</v>
      </c>
      <c r="D40" s="10" t="s">
        <v>52</v>
      </c>
      <c r="E40" s="10" t="s">
        <v>210</v>
      </c>
      <c r="F40" s="10" t="s">
        <v>211</v>
      </c>
      <c r="G40" s="10" t="s">
        <v>212</v>
      </c>
      <c r="H40" s="11"/>
      <c r="I40" s="12"/>
      <c r="J40" s="11" t="s">
        <v>5</v>
      </c>
      <c r="K40" s="11"/>
      <c r="L40" s="11"/>
    </row>
    <row r="41" customFormat="false" ht="23.85" hidden="false" customHeight="false" outlineLevel="0" collapsed="false">
      <c r="A41" s="10" t="s">
        <v>213</v>
      </c>
      <c r="B41" s="10" t="s">
        <v>14</v>
      </c>
      <c r="C41" s="10" t="s">
        <v>75</v>
      </c>
      <c r="D41" s="10" t="s">
        <v>52</v>
      </c>
      <c r="E41" s="10" t="s">
        <v>214</v>
      </c>
      <c r="F41" s="10" t="s">
        <v>215</v>
      </c>
      <c r="G41" s="10" t="s">
        <v>216</v>
      </c>
      <c r="H41" s="11"/>
      <c r="I41" s="12"/>
      <c r="J41" s="11" t="s">
        <v>5</v>
      </c>
      <c r="K41" s="11"/>
      <c r="L41" s="11"/>
    </row>
    <row r="42" customFormat="false" ht="15" hidden="false" customHeight="false" outlineLevel="0" collapsed="false">
      <c r="A42" s="10" t="s">
        <v>217</v>
      </c>
      <c r="B42" s="10" t="s">
        <v>14</v>
      </c>
      <c r="C42" s="10" t="s">
        <v>105</v>
      </c>
      <c r="D42" s="10" t="s">
        <v>52</v>
      </c>
      <c r="E42" s="10" t="s">
        <v>218</v>
      </c>
      <c r="F42" s="10" t="s">
        <v>219</v>
      </c>
      <c r="G42" s="10" t="s">
        <v>220</v>
      </c>
      <c r="H42" s="11"/>
      <c r="I42" s="12"/>
      <c r="J42" s="11" t="s">
        <v>5</v>
      </c>
      <c r="K42" s="11"/>
      <c r="L42" s="11"/>
    </row>
    <row r="43" customFormat="false" ht="23.85" hidden="false" customHeight="false" outlineLevel="0" collapsed="false">
      <c r="A43" s="10" t="s">
        <v>221</v>
      </c>
      <c r="B43" s="10" t="s">
        <v>14</v>
      </c>
      <c r="C43" s="10" t="s">
        <v>75</v>
      </c>
      <c r="D43" s="10" t="s">
        <v>66</v>
      </c>
      <c r="E43" s="10" t="s">
        <v>222</v>
      </c>
      <c r="F43" s="10" t="s">
        <v>223</v>
      </c>
      <c r="G43" s="10" t="s">
        <v>224</v>
      </c>
      <c r="H43" s="11"/>
      <c r="I43" s="12"/>
      <c r="J43" s="11" t="s">
        <v>5</v>
      </c>
      <c r="K43" s="11"/>
      <c r="L43" s="11"/>
    </row>
    <row r="44" customFormat="false" ht="15" hidden="false" customHeight="false" outlineLevel="0" collapsed="false">
      <c r="A44" s="10" t="s">
        <v>225</v>
      </c>
      <c r="B44" s="10" t="s">
        <v>14</v>
      </c>
      <c r="C44" s="10" t="s">
        <v>75</v>
      </c>
      <c r="D44" s="10" t="s">
        <v>52</v>
      </c>
      <c r="E44" s="10" t="s">
        <v>226</v>
      </c>
      <c r="F44" s="10" t="s">
        <v>227</v>
      </c>
      <c r="G44" s="10" t="s">
        <v>228</v>
      </c>
      <c r="H44" s="11"/>
      <c r="I44" s="12"/>
      <c r="J44" s="11" t="s">
        <v>5</v>
      </c>
      <c r="K44" s="11"/>
      <c r="L44" s="11"/>
    </row>
    <row r="45" customFormat="false" ht="23.85" hidden="false" customHeight="false" outlineLevel="0" collapsed="false">
      <c r="A45" s="10" t="s">
        <v>229</v>
      </c>
      <c r="B45" s="10" t="s">
        <v>14</v>
      </c>
      <c r="C45" s="10" t="s">
        <v>105</v>
      </c>
      <c r="D45" s="10" t="s">
        <v>66</v>
      </c>
      <c r="E45" s="10" t="s">
        <v>230</v>
      </c>
      <c r="F45" s="10" t="s">
        <v>231</v>
      </c>
      <c r="G45" s="10" t="s">
        <v>232</v>
      </c>
      <c r="H45" s="11"/>
      <c r="I45" s="12"/>
      <c r="J45" s="11" t="s">
        <v>5</v>
      </c>
      <c r="K45" s="11"/>
      <c r="L45" s="11"/>
    </row>
    <row r="46" customFormat="false" ht="23.85" hidden="false" customHeight="false" outlineLevel="0" collapsed="false">
      <c r="A46" s="10" t="s">
        <v>233</v>
      </c>
      <c r="B46" s="10" t="s">
        <v>15</v>
      </c>
      <c r="C46" s="10" t="s">
        <v>51</v>
      </c>
      <c r="D46" s="10" t="s">
        <v>234</v>
      </c>
      <c r="E46" s="10" t="s">
        <v>235</v>
      </c>
      <c r="F46" s="10" t="s">
        <v>236</v>
      </c>
      <c r="G46" s="10" t="s">
        <v>237</v>
      </c>
      <c r="H46" s="11"/>
      <c r="I46" s="12"/>
      <c r="J46" s="11" t="s">
        <v>5</v>
      </c>
      <c r="K46" s="11"/>
      <c r="L46" s="11"/>
    </row>
    <row r="47" customFormat="false" ht="23.85" hidden="false" customHeight="false" outlineLevel="0" collapsed="false">
      <c r="A47" s="10" t="s">
        <v>238</v>
      </c>
      <c r="B47" s="10" t="s">
        <v>15</v>
      </c>
      <c r="C47" s="10" t="s">
        <v>51</v>
      </c>
      <c r="D47" s="10" t="s">
        <v>234</v>
      </c>
      <c r="E47" s="10" t="s">
        <v>239</v>
      </c>
      <c r="F47" s="10" t="s">
        <v>240</v>
      </c>
      <c r="G47" s="10" t="s">
        <v>241</v>
      </c>
      <c r="H47" s="11"/>
      <c r="I47" s="12"/>
      <c r="J47" s="11" t="s">
        <v>5</v>
      </c>
      <c r="K47" s="11"/>
      <c r="L47" s="11"/>
    </row>
    <row r="48" customFormat="false" ht="23.85" hidden="false" customHeight="false" outlineLevel="0" collapsed="false">
      <c r="A48" s="10" t="s">
        <v>242</v>
      </c>
      <c r="B48" s="10" t="s">
        <v>15</v>
      </c>
      <c r="C48" s="10" t="s">
        <v>51</v>
      </c>
      <c r="D48" s="10" t="s">
        <v>66</v>
      </c>
      <c r="E48" s="10" t="s">
        <v>243</v>
      </c>
      <c r="F48" s="10" t="s">
        <v>244</v>
      </c>
      <c r="G48" s="10" t="s">
        <v>245</v>
      </c>
      <c r="H48" s="11"/>
      <c r="I48" s="12"/>
      <c r="J48" s="11" t="s">
        <v>5</v>
      </c>
      <c r="K48" s="11"/>
      <c r="L48" s="11"/>
    </row>
    <row r="49" customFormat="false" ht="23.85" hidden="false" customHeight="false" outlineLevel="0" collapsed="false">
      <c r="A49" s="10" t="s">
        <v>246</v>
      </c>
      <c r="B49" s="10" t="s">
        <v>15</v>
      </c>
      <c r="C49" s="10" t="s">
        <v>51</v>
      </c>
      <c r="D49" s="10" t="s">
        <v>247</v>
      </c>
      <c r="E49" s="10" t="s">
        <v>248</v>
      </c>
      <c r="F49" s="10" t="s">
        <v>249</v>
      </c>
      <c r="G49" s="10" t="s">
        <v>250</v>
      </c>
      <c r="H49" s="11"/>
      <c r="I49" s="12"/>
      <c r="J49" s="11" t="s">
        <v>5</v>
      </c>
      <c r="K49" s="11"/>
      <c r="L49" s="11"/>
    </row>
    <row r="50" customFormat="false" ht="23.85" hidden="false" customHeight="false" outlineLevel="0" collapsed="false">
      <c r="A50" s="10" t="s">
        <v>251</v>
      </c>
      <c r="B50" s="10" t="s">
        <v>15</v>
      </c>
      <c r="C50" s="10" t="s">
        <v>51</v>
      </c>
      <c r="D50" s="10" t="s">
        <v>247</v>
      </c>
      <c r="E50" s="10" t="s">
        <v>252</v>
      </c>
      <c r="F50" s="10" t="s">
        <v>253</v>
      </c>
      <c r="G50" s="10" t="s">
        <v>254</v>
      </c>
      <c r="H50" s="11"/>
      <c r="I50" s="12"/>
      <c r="J50" s="11" t="s">
        <v>5</v>
      </c>
      <c r="K50" s="11"/>
      <c r="L50" s="11"/>
    </row>
    <row r="51" customFormat="false" ht="23.85" hidden="false" customHeight="false" outlineLevel="0" collapsed="false">
      <c r="A51" s="10" t="s">
        <v>255</v>
      </c>
      <c r="B51" s="10" t="s">
        <v>15</v>
      </c>
      <c r="C51" s="10" t="s">
        <v>51</v>
      </c>
      <c r="D51" s="10" t="s">
        <v>247</v>
      </c>
      <c r="E51" s="10" t="s">
        <v>256</v>
      </c>
      <c r="F51" s="10" t="s">
        <v>257</v>
      </c>
      <c r="G51" s="10" t="s">
        <v>258</v>
      </c>
      <c r="H51" s="11"/>
      <c r="I51" s="12"/>
      <c r="J51" s="11" t="s">
        <v>5</v>
      </c>
      <c r="K51" s="11"/>
      <c r="L51" s="11"/>
    </row>
    <row r="52" customFormat="false" ht="23.85" hidden="false" customHeight="false" outlineLevel="0" collapsed="false">
      <c r="A52" s="10" t="s">
        <v>259</v>
      </c>
      <c r="B52" s="10" t="s">
        <v>15</v>
      </c>
      <c r="C52" s="10" t="s">
        <v>51</v>
      </c>
      <c r="D52" s="10" t="s">
        <v>247</v>
      </c>
      <c r="E52" s="10" t="s">
        <v>260</v>
      </c>
      <c r="F52" s="10" t="s">
        <v>261</v>
      </c>
      <c r="G52" s="10" t="s">
        <v>262</v>
      </c>
      <c r="H52" s="11"/>
      <c r="I52" s="12"/>
      <c r="J52" s="11" t="s">
        <v>5</v>
      </c>
      <c r="K52" s="11"/>
      <c r="L52" s="11"/>
    </row>
    <row r="53" customFormat="false" ht="23.85" hidden="false" customHeight="false" outlineLevel="0" collapsed="false">
      <c r="A53" s="10" t="s">
        <v>263</v>
      </c>
      <c r="B53" s="10" t="s">
        <v>15</v>
      </c>
      <c r="C53" s="10" t="s">
        <v>75</v>
      </c>
      <c r="D53" s="10" t="s">
        <v>234</v>
      </c>
      <c r="E53" s="10" t="s">
        <v>264</v>
      </c>
      <c r="F53" s="10" t="s">
        <v>265</v>
      </c>
      <c r="G53" s="10" t="s">
        <v>266</v>
      </c>
      <c r="H53" s="11"/>
      <c r="I53" s="12"/>
      <c r="J53" s="11" t="s">
        <v>5</v>
      </c>
      <c r="K53" s="11"/>
      <c r="L53" s="11"/>
    </row>
    <row r="54" customFormat="false" ht="23.85" hidden="false" customHeight="false" outlineLevel="0" collapsed="false">
      <c r="A54" s="10" t="s">
        <v>267</v>
      </c>
      <c r="B54" s="10" t="s">
        <v>15</v>
      </c>
      <c r="C54" s="10" t="s">
        <v>75</v>
      </c>
      <c r="D54" s="10" t="s">
        <v>234</v>
      </c>
      <c r="E54" s="10" t="s">
        <v>268</v>
      </c>
      <c r="F54" s="10" t="s">
        <v>269</v>
      </c>
      <c r="G54" s="10" t="s">
        <v>270</v>
      </c>
      <c r="H54" s="11"/>
      <c r="I54" s="12"/>
      <c r="J54" s="11" t="s">
        <v>5</v>
      </c>
      <c r="K54" s="11"/>
      <c r="L54" s="11"/>
    </row>
    <row r="55" customFormat="false" ht="23.85" hidden="false" customHeight="false" outlineLevel="0" collapsed="false">
      <c r="A55" s="10" t="s">
        <v>271</v>
      </c>
      <c r="B55" s="10" t="s">
        <v>15</v>
      </c>
      <c r="C55" s="10" t="s">
        <v>51</v>
      </c>
      <c r="D55" s="10" t="s">
        <v>247</v>
      </c>
      <c r="E55" s="10" t="s">
        <v>272</v>
      </c>
      <c r="F55" s="10" t="s">
        <v>273</v>
      </c>
      <c r="G55" s="10" t="s">
        <v>274</v>
      </c>
      <c r="H55" s="11"/>
      <c r="I55" s="12"/>
      <c r="J55" s="11" t="s">
        <v>5</v>
      </c>
      <c r="K55" s="11"/>
      <c r="L55" s="11"/>
    </row>
    <row r="56" customFormat="false" ht="23.85" hidden="false" customHeight="false" outlineLevel="0" collapsed="false">
      <c r="A56" s="10" t="s">
        <v>275</v>
      </c>
      <c r="B56" s="10" t="s">
        <v>15</v>
      </c>
      <c r="C56" s="10" t="s">
        <v>75</v>
      </c>
      <c r="D56" s="10" t="s">
        <v>234</v>
      </c>
      <c r="E56" s="10" t="s">
        <v>276</v>
      </c>
      <c r="F56" s="10" t="s">
        <v>277</v>
      </c>
      <c r="G56" s="10" t="s">
        <v>278</v>
      </c>
      <c r="H56" s="11"/>
      <c r="I56" s="12"/>
      <c r="J56" s="11" t="s">
        <v>5</v>
      </c>
      <c r="K56" s="11"/>
      <c r="L56" s="11"/>
    </row>
    <row r="57" customFormat="false" ht="23.85" hidden="false" customHeight="false" outlineLevel="0" collapsed="false">
      <c r="A57" s="10" t="s">
        <v>279</v>
      </c>
      <c r="B57" s="10" t="s">
        <v>16</v>
      </c>
      <c r="C57" s="10" t="s">
        <v>51</v>
      </c>
      <c r="D57" s="10" t="s">
        <v>52</v>
      </c>
      <c r="E57" s="10" t="s">
        <v>280</v>
      </c>
      <c r="F57" s="10" t="s">
        <v>281</v>
      </c>
      <c r="G57" s="10" t="s">
        <v>282</v>
      </c>
      <c r="H57" s="11"/>
      <c r="I57" s="12"/>
      <c r="J57" s="11" t="s">
        <v>5</v>
      </c>
      <c r="K57" s="11"/>
      <c r="L57" s="11"/>
    </row>
    <row r="58" customFormat="false" ht="23.85" hidden="false" customHeight="false" outlineLevel="0" collapsed="false">
      <c r="A58" s="10" t="s">
        <v>283</v>
      </c>
      <c r="B58" s="10" t="s">
        <v>16</v>
      </c>
      <c r="C58" s="10" t="s">
        <v>51</v>
      </c>
      <c r="D58" s="10" t="s">
        <v>52</v>
      </c>
      <c r="E58" s="10" t="s">
        <v>284</v>
      </c>
      <c r="F58" s="10" t="s">
        <v>285</v>
      </c>
      <c r="G58" s="10" t="s">
        <v>286</v>
      </c>
      <c r="H58" s="11"/>
      <c r="I58" s="12"/>
      <c r="J58" s="11" t="s">
        <v>5</v>
      </c>
      <c r="K58" s="11"/>
      <c r="L58" s="11"/>
    </row>
    <row r="59" customFormat="false" ht="23.85" hidden="false" customHeight="false" outlineLevel="0" collapsed="false">
      <c r="A59" s="10" t="s">
        <v>287</v>
      </c>
      <c r="B59" s="10" t="s">
        <v>16</v>
      </c>
      <c r="C59" s="10" t="s">
        <v>51</v>
      </c>
      <c r="D59" s="10" t="s">
        <v>66</v>
      </c>
      <c r="E59" s="10" t="s">
        <v>288</v>
      </c>
      <c r="F59" s="10" t="s">
        <v>289</v>
      </c>
      <c r="G59" s="10" t="s">
        <v>290</v>
      </c>
      <c r="H59" s="11"/>
      <c r="I59" s="12"/>
      <c r="J59" s="11" t="s">
        <v>5</v>
      </c>
      <c r="K59" s="11"/>
      <c r="L59" s="11"/>
    </row>
    <row r="60" customFormat="false" ht="23.85" hidden="false" customHeight="false" outlineLevel="0" collapsed="false">
      <c r="A60" s="10" t="s">
        <v>291</v>
      </c>
      <c r="B60" s="10" t="s">
        <v>16</v>
      </c>
      <c r="C60" s="10" t="s">
        <v>51</v>
      </c>
      <c r="D60" s="10" t="s">
        <v>66</v>
      </c>
      <c r="E60" s="10" t="s">
        <v>292</v>
      </c>
      <c r="F60" s="10" t="s">
        <v>293</v>
      </c>
      <c r="G60" s="10" t="s">
        <v>294</v>
      </c>
      <c r="H60" s="11"/>
      <c r="I60" s="12"/>
      <c r="J60" s="11" t="s">
        <v>5</v>
      </c>
      <c r="K60" s="11"/>
      <c r="L60" s="11"/>
    </row>
    <row r="61" customFormat="false" ht="15" hidden="false" customHeight="false" outlineLevel="0" collapsed="false">
      <c r="A61" s="10" t="s">
        <v>295</v>
      </c>
      <c r="B61" s="10" t="s">
        <v>16</v>
      </c>
      <c r="C61" s="10" t="s">
        <v>51</v>
      </c>
      <c r="D61" s="10" t="s">
        <v>66</v>
      </c>
      <c r="E61" s="10" t="s">
        <v>296</v>
      </c>
      <c r="F61" s="10" t="s">
        <v>297</v>
      </c>
      <c r="G61" s="10" t="s">
        <v>298</v>
      </c>
      <c r="H61" s="11"/>
      <c r="I61" s="12"/>
      <c r="J61" s="11" t="s">
        <v>5</v>
      </c>
      <c r="K61" s="11"/>
      <c r="L61" s="11"/>
    </row>
    <row r="62" customFormat="false" ht="15" hidden="false" customHeight="false" outlineLevel="0" collapsed="false">
      <c r="A62" s="10" t="s">
        <v>299</v>
      </c>
      <c r="B62" s="10" t="s">
        <v>16</v>
      </c>
      <c r="C62" s="10" t="s">
        <v>51</v>
      </c>
      <c r="D62" s="10" t="s">
        <v>66</v>
      </c>
      <c r="E62" s="10" t="s">
        <v>300</v>
      </c>
      <c r="F62" s="10" t="s">
        <v>301</v>
      </c>
      <c r="G62" s="10" t="s">
        <v>302</v>
      </c>
      <c r="H62" s="11"/>
      <c r="I62" s="12"/>
      <c r="J62" s="11" t="s">
        <v>5</v>
      </c>
      <c r="K62" s="11"/>
      <c r="L62" s="11"/>
    </row>
    <row r="63" customFormat="false" ht="15" hidden="false" customHeight="false" outlineLevel="0" collapsed="false">
      <c r="A63" s="10" t="s">
        <v>303</v>
      </c>
      <c r="B63" s="10" t="s">
        <v>16</v>
      </c>
      <c r="C63" s="10" t="s">
        <v>51</v>
      </c>
      <c r="D63" s="10" t="s">
        <v>66</v>
      </c>
      <c r="E63" s="10" t="s">
        <v>186</v>
      </c>
      <c r="F63" s="10" t="s">
        <v>304</v>
      </c>
      <c r="G63" s="10" t="s">
        <v>305</v>
      </c>
      <c r="H63" s="11"/>
      <c r="I63" s="12"/>
      <c r="J63" s="11" t="s">
        <v>5</v>
      </c>
      <c r="K63" s="11"/>
      <c r="L63" s="11"/>
    </row>
    <row r="64" customFormat="false" ht="23.85" hidden="false" customHeight="false" outlineLevel="0" collapsed="false">
      <c r="A64" s="10" t="s">
        <v>306</v>
      </c>
      <c r="B64" s="10" t="s">
        <v>16</v>
      </c>
      <c r="C64" s="10" t="s">
        <v>51</v>
      </c>
      <c r="D64" s="10" t="s">
        <v>66</v>
      </c>
      <c r="E64" s="10" t="s">
        <v>307</v>
      </c>
      <c r="F64" s="10" t="s">
        <v>308</v>
      </c>
      <c r="G64" s="10" t="s">
        <v>309</v>
      </c>
      <c r="H64" s="11"/>
      <c r="I64" s="12"/>
      <c r="J64" s="11" t="s">
        <v>5</v>
      </c>
      <c r="K64" s="11"/>
      <c r="L64" s="11"/>
    </row>
    <row r="65" customFormat="false" ht="23.85" hidden="false" customHeight="false" outlineLevel="0" collapsed="false">
      <c r="A65" s="10" t="s">
        <v>310</v>
      </c>
      <c r="B65" s="10" t="s">
        <v>16</v>
      </c>
      <c r="C65" s="10" t="s">
        <v>75</v>
      </c>
      <c r="D65" s="10" t="s">
        <v>52</v>
      </c>
      <c r="E65" s="10" t="s">
        <v>311</v>
      </c>
      <c r="F65" s="10" t="s">
        <v>312</v>
      </c>
      <c r="G65" s="10" t="s">
        <v>313</v>
      </c>
      <c r="H65" s="11"/>
      <c r="I65" s="12"/>
      <c r="J65" s="11" t="s">
        <v>5</v>
      </c>
      <c r="K65" s="11"/>
      <c r="L65" s="11"/>
    </row>
    <row r="66" customFormat="false" ht="15" hidden="false" customHeight="false" outlineLevel="0" collapsed="false">
      <c r="A66" s="10" t="s">
        <v>314</v>
      </c>
      <c r="B66" s="10" t="s">
        <v>16</v>
      </c>
      <c r="C66" s="10" t="s">
        <v>75</v>
      </c>
      <c r="D66" s="10" t="s">
        <v>66</v>
      </c>
      <c r="E66" s="10" t="s">
        <v>315</v>
      </c>
      <c r="F66" s="10" t="s">
        <v>316</v>
      </c>
      <c r="G66" s="10" t="s">
        <v>317</v>
      </c>
      <c r="H66" s="11"/>
      <c r="I66" s="12"/>
      <c r="J66" s="11" t="s">
        <v>5</v>
      </c>
      <c r="K66" s="11"/>
      <c r="L66" s="11"/>
    </row>
    <row r="67" customFormat="false" ht="15" hidden="false" customHeight="false" outlineLevel="0" collapsed="false">
      <c r="A67" s="10" t="s">
        <v>318</v>
      </c>
      <c r="B67" s="10" t="s">
        <v>16</v>
      </c>
      <c r="C67" s="10" t="s">
        <v>105</v>
      </c>
      <c r="D67" s="10" t="s">
        <v>66</v>
      </c>
      <c r="E67" s="10" t="s">
        <v>319</v>
      </c>
      <c r="F67" s="10" t="s">
        <v>320</v>
      </c>
      <c r="G67" s="10" t="s">
        <v>321</v>
      </c>
      <c r="H67" s="11"/>
      <c r="I67" s="12"/>
      <c r="J67" s="11" t="s">
        <v>5</v>
      </c>
      <c r="K67" s="11"/>
      <c r="L67" s="11"/>
    </row>
    <row r="68" customFormat="false" ht="35.05" hidden="false" customHeight="false" outlineLevel="0" collapsed="false">
      <c r="A68" s="10" t="s">
        <v>322</v>
      </c>
      <c r="B68" s="10" t="s">
        <v>17</v>
      </c>
      <c r="C68" s="10" t="s">
        <v>51</v>
      </c>
      <c r="D68" s="10" t="s">
        <v>52</v>
      </c>
      <c r="E68" s="10" t="s">
        <v>323</v>
      </c>
      <c r="F68" s="10" t="s">
        <v>324</v>
      </c>
      <c r="G68" s="10" t="s">
        <v>325</v>
      </c>
      <c r="H68" s="11"/>
      <c r="I68" s="12"/>
      <c r="J68" s="11" t="s">
        <v>5</v>
      </c>
      <c r="K68" s="11"/>
      <c r="L68" s="11"/>
    </row>
    <row r="69" customFormat="false" ht="23.85" hidden="false" customHeight="false" outlineLevel="0" collapsed="false">
      <c r="A69" s="10" t="s">
        <v>326</v>
      </c>
      <c r="B69" s="10" t="s">
        <v>17</v>
      </c>
      <c r="C69" s="10" t="s">
        <v>51</v>
      </c>
      <c r="D69" s="10" t="s">
        <v>52</v>
      </c>
      <c r="E69" s="10" t="s">
        <v>327</v>
      </c>
      <c r="F69" s="10" t="s">
        <v>328</v>
      </c>
      <c r="G69" s="10" t="s">
        <v>329</v>
      </c>
      <c r="H69" s="11"/>
      <c r="I69" s="12"/>
      <c r="J69" s="11" t="s">
        <v>5</v>
      </c>
      <c r="K69" s="11"/>
      <c r="L69" s="11"/>
    </row>
    <row r="70" customFormat="false" ht="15" hidden="false" customHeight="false" outlineLevel="0" collapsed="false">
      <c r="A70" s="10" t="s">
        <v>330</v>
      </c>
      <c r="B70" s="10" t="s">
        <v>17</v>
      </c>
      <c r="C70" s="10" t="s">
        <v>51</v>
      </c>
      <c r="D70" s="10" t="s">
        <v>52</v>
      </c>
      <c r="E70" s="10" t="s">
        <v>331</v>
      </c>
      <c r="F70" s="10" t="s">
        <v>332</v>
      </c>
      <c r="G70" s="10" t="s">
        <v>333</v>
      </c>
      <c r="H70" s="11"/>
      <c r="I70" s="12"/>
      <c r="J70" s="11" t="s">
        <v>5</v>
      </c>
      <c r="K70" s="11"/>
      <c r="L70" s="11"/>
    </row>
    <row r="71" customFormat="false" ht="23.85" hidden="false" customHeight="false" outlineLevel="0" collapsed="false">
      <c r="A71" s="10" t="s">
        <v>334</v>
      </c>
      <c r="B71" s="10" t="s">
        <v>17</v>
      </c>
      <c r="C71" s="10" t="s">
        <v>75</v>
      </c>
      <c r="D71" s="10" t="s">
        <v>52</v>
      </c>
      <c r="E71" s="10" t="s">
        <v>335</v>
      </c>
      <c r="F71" s="10" t="s">
        <v>336</v>
      </c>
      <c r="G71" s="10" t="s">
        <v>337</v>
      </c>
      <c r="H71" s="11"/>
      <c r="I71" s="12"/>
      <c r="J71" s="11" t="s">
        <v>5</v>
      </c>
      <c r="K71" s="11"/>
      <c r="L71" s="11"/>
    </row>
    <row r="72" customFormat="false" ht="15" hidden="false" customHeight="false" outlineLevel="0" collapsed="false">
      <c r="A72" s="10" t="s">
        <v>338</v>
      </c>
      <c r="B72" s="10" t="s">
        <v>17</v>
      </c>
      <c r="C72" s="10" t="s">
        <v>75</v>
      </c>
      <c r="D72" s="10" t="s">
        <v>52</v>
      </c>
      <c r="E72" s="10" t="s">
        <v>339</v>
      </c>
      <c r="F72" s="10" t="s">
        <v>340</v>
      </c>
      <c r="G72" s="10" t="s">
        <v>341</v>
      </c>
      <c r="H72" s="11"/>
      <c r="I72" s="12"/>
      <c r="J72" s="11" t="s">
        <v>5</v>
      </c>
      <c r="K72" s="11"/>
      <c r="L72" s="11"/>
    </row>
    <row r="73" customFormat="false" ht="23.85" hidden="false" customHeight="false" outlineLevel="0" collapsed="false">
      <c r="A73" s="10" t="s">
        <v>342</v>
      </c>
      <c r="B73" s="10" t="s">
        <v>17</v>
      </c>
      <c r="C73" s="10" t="s">
        <v>75</v>
      </c>
      <c r="D73" s="10" t="s">
        <v>52</v>
      </c>
      <c r="E73" s="10" t="s">
        <v>343</v>
      </c>
      <c r="F73" s="10" t="s">
        <v>344</v>
      </c>
      <c r="G73" s="10" t="s">
        <v>345</v>
      </c>
      <c r="H73" s="11"/>
      <c r="I73" s="12"/>
      <c r="J73" s="11" t="s">
        <v>5</v>
      </c>
      <c r="K73" s="11"/>
      <c r="L73" s="11"/>
    </row>
    <row r="74" customFormat="false" ht="23.85" hidden="false" customHeight="false" outlineLevel="0" collapsed="false">
      <c r="A74" s="10" t="s">
        <v>346</v>
      </c>
      <c r="B74" s="10" t="s">
        <v>17</v>
      </c>
      <c r="C74" s="10" t="s">
        <v>51</v>
      </c>
      <c r="D74" s="10" t="s">
        <v>52</v>
      </c>
      <c r="E74" s="10" t="s">
        <v>347</v>
      </c>
      <c r="F74" s="10" t="s">
        <v>348</v>
      </c>
      <c r="G74" s="10" t="s">
        <v>349</v>
      </c>
      <c r="H74" s="11"/>
      <c r="I74" s="12"/>
      <c r="J74" s="11" t="s">
        <v>5</v>
      </c>
      <c r="K74" s="11"/>
      <c r="L74" s="11"/>
    </row>
    <row r="75" customFormat="false" ht="23.85" hidden="false" customHeight="false" outlineLevel="0" collapsed="false">
      <c r="A75" s="10" t="s">
        <v>350</v>
      </c>
      <c r="B75" s="10" t="s">
        <v>17</v>
      </c>
      <c r="C75" s="10" t="s">
        <v>75</v>
      </c>
      <c r="D75" s="10" t="s">
        <v>52</v>
      </c>
      <c r="E75" s="10" t="s">
        <v>351</v>
      </c>
      <c r="F75" s="10" t="s">
        <v>352</v>
      </c>
      <c r="G75" s="10" t="s">
        <v>353</v>
      </c>
      <c r="H75" s="11"/>
      <c r="I75" s="12"/>
      <c r="J75" s="11" t="s">
        <v>5</v>
      </c>
      <c r="K75" s="11"/>
      <c r="L75" s="11"/>
    </row>
    <row r="76" customFormat="false" ht="23.85" hidden="false" customHeight="false" outlineLevel="0" collapsed="false">
      <c r="A76" s="10" t="s">
        <v>354</v>
      </c>
      <c r="B76" s="10" t="s">
        <v>17</v>
      </c>
      <c r="C76" s="10" t="s">
        <v>51</v>
      </c>
      <c r="D76" s="10" t="s">
        <v>52</v>
      </c>
      <c r="E76" s="10" t="s">
        <v>355</v>
      </c>
      <c r="F76" s="10" t="s">
        <v>356</v>
      </c>
      <c r="G76" s="10" t="s">
        <v>357</v>
      </c>
      <c r="H76" s="11"/>
      <c r="I76" s="12"/>
      <c r="J76" s="11" t="s">
        <v>5</v>
      </c>
      <c r="K76" s="11"/>
      <c r="L76" s="11"/>
    </row>
    <row r="77" customFormat="false" ht="23.85" hidden="false" customHeight="false" outlineLevel="0" collapsed="false">
      <c r="A77" s="10" t="s">
        <v>358</v>
      </c>
      <c r="B77" s="10" t="s">
        <v>17</v>
      </c>
      <c r="C77" s="10" t="s">
        <v>51</v>
      </c>
      <c r="D77" s="10" t="s">
        <v>359</v>
      </c>
      <c r="E77" s="10" t="s">
        <v>360</v>
      </c>
      <c r="F77" s="10" t="s">
        <v>361</v>
      </c>
      <c r="G77" s="10" t="s">
        <v>362</v>
      </c>
      <c r="H77" s="11"/>
      <c r="I77" s="12"/>
      <c r="J77" s="11" t="s">
        <v>5</v>
      </c>
      <c r="K77" s="11"/>
      <c r="L77" s="11"/>
    </row>
    <row r="78" customFormat="false" ht="15" hidden="false" customHeight="false" outlineLevel="0" collapsed="false">
      <c r="A78" s="10" t="s">
        <v>363</v>
      </c>
      <c r="B78" s="10" t="s">
        <v>17</v>
      </c>
      <c r="C78" s="10" t="s">
        <v>75</v>
      </c>
      <c r="D78" s="10" t="s">
        <v>52</v>
      </c>
      <c r="E78" s="10" t="s">
        <v>364</v>
      </c>
      <c r="F78" s="10" t="s">
        <v>365</v>
      </c>
      <c r="G78" s="10" t="s">
        <v>366</v>
      </c>
      <c r="H78" s="11"/>
      <c r="I78" s="12"/>
      <c r="J78" s="11" t="s">
        <v>5</v>
      </c>
      <c r="K78" s="11"/>
      <c r="L78" s="11"/>
    </row>
    <row r="79" customFormat="false" ht="15" hidden="false" customHeight="false" outlineLevel="0" collapsed="false">
      <c r="A79" s="10" t="s">
        <v>367</v>
      </c>
      <c r="B79" s="10" t="s">
        <v>17</v>
      </c>
      <c r="C79" s="10" t="s">
        <v>105</v>
      </c>
      <c r="D79" s="10" t="s">
        <v>52</v>
      </c>
      <c r="E79" s="10" t="s">
        <v>368</v>
      </c>
      <c r="F79" s="10" t="s">
        <v>369</v>
      </c>
      <c r="G79" s="10" t="s">
        <v>370</v>
      </c>
      <c r="H79" s="11"/>
      <c r="I79" s="12"/>
      <c r="J79" s="11" t="s">
        <v>5</v>
      </c>
      <c r="K79" s="11"/>
      <c r="L79" s="11"/>
    </row>
    <row r="80" customFormat="false" ht="23.85" hidden="false" customHeight="false" outlineLevel="0" collapsed="false">
      <c r="A80" s="10" t="s">
        <v>371</v>
      </c>
      <c r="B80" s="10" t="s">
        <v>18</v>
      </c>
      <c r="C80" s="10" t="s">
        <v>51</v>
      </c>
      <c r="D80" s="10" t="s">
        <v>66</v>
      </c>
      <c r="E80" s="10" t="s">
        <v>372</v>
      </c>
      <c r="F80" s="10" t="s">
        <v>373</v>
      </c>
      <c r="G80" s="10" t="s">
        <v>374</v>
      </c>
      <c r="H80" s="11"/>
      <c r="I80" s="12"/>
      <c r="J80" s="11" t="s">
        <v>5</v>
      </c>
      <c r="K80" s="11"/>
      <c r="L80" s="11"/>
    </row>
    <row r="81" customFormat="false" ht="23.85" hidden="false" customHeight="false" outlineLevel="0" collapsed="false">
      <c r="A81" s="10" t="s">
        <v>375</v>
      </c>
      <c r="B81" s="10" t="s">
        <v>18</v>
      </c>
      <c r="C81" s="10" t="s">
        <v>51</v>
      </c>
      <c r="D81" s="10" t="s">
        <v>52</v>
      </c>
      <c r="E81" s="10" t="s">
        <v>376</v>
      </c>
      <c r="F81" s="10" t="s">
        <v>377</v>
      </c>
      <c r="G81" s="10" t="s">
        <v>378</v>
      </c>
      <c r="H81" s="11"/>
      <c r="I81" s="12"/>
      <c r="J81" s="11" t="s">
        <v>5</v>
      </c>
      <c r="K81" s="11"/>
      <c r="L81" s="11"/>
    </row>
    <row r="82" customFormat="false" ht="23.85" hidden="false" customHeight="false" outlineLevel="0" collapsed="false">
      <c r="A82" s="10" t="s">
        <v>379</v>
      </c>
      <c r="B82" s="10" t="s">
        <v>18</v>
      </c>
      <c r="C82" s="10" t="s">
        <v>51</v>
      </c>
      <c r="D82" s="10" t="s">
        <v>52</v>
      </c>
      <c r="E82" s="10" t="s">
        <v>380</v>
      </c>
      <c r="F82" s="10" t="s">
        <v>381</v>
      </c>
      <c r="G82" s="10" t="s">
        <v>382</v>
      </c>
      <c r="H82" s="11"/>
      <c r="I82" s="12"/>
      <c r="J82" s="11" t="s">
        <v>5</v>
      </c>
      <c r="K82" s="11"/>
      <c r="L82" s="11"/>
    </row>
    <row r="83" customFormat="false" ht="15" hidden="false" customHeight="false" outlineLevel="0" collapsed="false">
      <c r="A83" s="10" t="s">
        <v>383</v>
      </c>
      <c r="B83" s="10" t="s">
        <v>18</v>
      </c>
      <c r="C83" s="10" t="s">
        <v>75</v>
      </c>
      <c r="D83" s="10" t="s">
        <v>52</v>
      </c>
      <c r="E83" s="10" t="s">
        <v>384</v>
      </c>
      <c r="F83" s="10" t="s">
        <v>385</v>
      </c>
      <c r="G83" s="10" t="s">
        <v>386</v>
      </c>
      <c r="H83" s="11"/>
      <c r="I83" s="12"/>
      <c r="J83" s="11" t="s">
        <v>5</v>
      </c>
      <c r="K83" s="11"/>
      <c r="L83" s="11"/>
    </row>
    <row r="84" customFormat="false" ht="15" hidden="false" customHeight="false" outlineLevel="0" collapsed="false">
      <c r="A84" s="10" t="s">
        <v>387</v>
      </c>
      <c r="B84" s="10" t="s">
        <v>18</v>
      </c>
      <c r="C84" s="10" t="s">
        <v>75</v>
      </c>
      <c r="D84" s="10" t="s">
        <v>52</v>
      </c>
      <c r="E84" s="10" t="s">
        <v>388</v>
      </c>
      <c r="F84" s="10" t="s">
        <v>389</v>
      </c>
      <c r="G84" s="10" t="s">
        <v>390</v>
      </c>
      <c r="H84" s="11"/>
      <c r="I84" s="12"/>
      <c r="J84" s="11" t="s">
        <v>5</v>
      </c>
      <c r="K84" s="11"/>
      <c r="L84" s="11"/>
    </row>
    <row r="85" customFormat="false" ht="15" hidden="false" customHeight="false" outlineLevel="0" collapsed="false">
      <c r="A85" s="10" t="s">
        <v>391</v>
      </c>
      <c r="B85" s="10" t="s">
        <v>18</v>
      </c>
      <c r="C85" s="10" t="s">
        <v>51</v>
      </c>
      <c r="D85" s="10" t="s">
        <v>52</v>
      </c>
      <c r="E85" s="10" t="s">
        <v>392</v>
      </c>
      <c r="F85" s="10" t="s">
        <v>393</v>
      </c>
      <c r="G85" s="10" t="s">
        <v>394</v>
      </c>
      <c r="H85" s="11"/>
      <c r="I85" s="12"/>
      <c r="J85" s="11" t="s">
        <v>5</v>
      </c>
      <c r="K85" s="11"/>
      <c r="L85" s="11"/>
    </row>
    <row r="86" customFormat="false" ht="23.85" hidden="false" customHeight="false" outlineLevel="0" collapsed="false">
      <c r="A86" s="10" t="s">
        <v>395</v>
      </c>
      <c r="B86" s="10" t="s">
        <v>18</v>
      </c>
      <c r="C86" s="10" t="s">
        <v>75</v>
      </c>
      <c r="D86" s="10" t="s">
        <v>52</v>
      </c>
      <c r="E86" s="10" t="s">
        <v>396</v>
      </c>
      <c r="F86" s="10" t="s">
        <v>397</v>
      </c>
      <c r="G86" s="10" t="s">
        <v>398</v>
      </c>
      <c r="H86" s="11"/>
      <c r="I86" s="12"/>
      <c r="J86" s="11" t="s">
        <v>5</v>
      </c>
      <c r="K86" s="11"/>
      <c r="L86" s="11"/>
    </row>
    <row r="87" customFormat="false" ht="23.85" hidden="false" customHeight="false" outlineLevel="0" collapsed="false">
      <c r="A87" s="10" t="s">
        <v>399</v>
      </c>
      <c r="B87" s="10" t="s">
        <v>18</v>
      </c>
      <c r="C87" s="10" t="s">
        <v>75</v>
      </c>
      <c r="D87" s="10" t="s">
        <v>52</v>
      </c>
      <c r="E87" s="10" t="s">
        <v>400</v>
      </c>
      <c r="F87" s="10" t="s">
        <v>401</v>
      </c>
      <c r="G87" s="10" t="s">
        <v>402</v>
      </c>
      <c r="H87" s="11"/>
      <c r="I87" s="12"/>
      <c r="J87" s="11" t="s">
        <v>5</v>
      </c>
      <c r="K87" s="11"/>
      <c r="L87" s="11"/>
    </row>
    <row r="88" customFormat="false" ht="15" hidden="false" customHeight="false" outlineLevel="0" collapsed="false">
      <c r="A88" s="10" t="s">
        <v>403</v>
      </c>
      <c r="B88" s="10" t="s">
        <v>18</v>
      </c>
      <c r="C88" s="10" t="s">
        <v>75</v>
      </c>
      <c r="D88" s="10" t="s">
        <v>52</v>
      </c>
      <c r="E88" s="10" t="s">
        <v>404</v>
      </c>
      <c r="F88" s="10" t="s">
        <v>405</v>
      </c>
      <c r="G88" s="10" t="s">
        <v>406</v>
      </c>
      <c r="H88" s="11"/>
      <c r="I88" s="12"/>
      <c r="J88" s="11" t="s">
        <v>5</v>
      </c>
      <c r="K88" s="11"/>
      <c r="L88" s="11"/>
    </row>
    <row r="89" customFormat="false" ht="15" hidden="false" customHeight="false" outlineLevel="0" collapsed="false">
      <c r="A89" s="10" t="s">
        <v>407</v>
      </c>
      <c r="B89" s="10" t="s">
        <v>18</v>
      </c>
      <c r="C89" s="10" t="s">
        <v>75</v>
      </c>
      <c r="D89" s="10" t="s">
        <v>52</v>
      </c>
      <c r="E89" s="10" t="s">
        <v>408</v>
      </c>
      <c r="F89" s="10" t="s">
        <v>409</v>
      </c>
      <c r="G89" s="10" t="s">
        <v>410</v>
      </c>
      <c r="H89" s="11"/>
      <c r="I89" s="12"/>
      <c r="J89" s="11" t="s">
        <v>5</v>
      </c>
      <c r="K89" s="11"/>
      <c r="L89" s="11"/>
    </row>
    <row r="90" customFormat="false" ht="23.85" hidden="false" customHeight="false" outlineLevel="0" collapsed="false">
      <c r="A90" s="10" t="s">
        <v>411</v>
      </c>
      <c r="B90" s="10" t="s">
        <v>18</v>
      </c>
      <c r="C90" s="10" t="s">
        <v>75</v>
      </c>
      <c r="D90" s="10" t="s">
        <v>66</v>
      </c>
      <c r="E90" s="10" t="s">
        <v>412</v>
      </c>
      <c r="F90" s="10" t="s">
        <v>413</v>
      </c>
      <c r="G90" s="10" t="s">
        <v>414</v>
      </c>
      <c r="H90" s="11"/>
      <c r="I90" s="12"/>
      <c r="J90" s="11" t="s">
        <v>5</v>
      </c>
      <c r="K90" s="11"/>
      <c r="L90" s="11"/>
    </row>
    <row r="91" customFormat="false" ht="15" hidden="false" customHeight="false" outlineLevel="0" collapsed="false">
      <c r="A91" s="10" t="s">
        <v>415</v>
      </c>
      <c r="B91" s="10" t="s">
        <v>18</v>
      </c>
      <c r="C91" s="10" t="s">
        <v>105</v>
      </c>
      <c r="D91" s="10" t="s">
        <v>52</v>
      </c>
      <c r="E91" s="10" t="s">
        <v>416</v>
      </c>
      <c r="F91" s="10" t="s">
        <v>417</v>
      </c>
      <c r="G91" s="10" t="s">
        <v>418</v>
      </c>
      <c r="H91" s="11"/>
      <c r="I91" s="12"/>
      <c r="J91" s="11" t="s">
        <v>5</v>
      </c>
      <c r="K91" s="11"/>
      <c r="L91" s="11"/>
    </row>
    <row r="92" customFormat="false" ht="23.85" hidden="false" customHeight="false" outlineLevel="0" collapsed="false">
      <c r="A92" s="10" t="s">
        <v>419</v>
      </c>
      <c r="B92" s="10" t="s">
        <v>19</v>
      </c>
      <c r="C92" s="10" t="s">
        <v>51</v>
      </c>
      <c r="D92" s="10" t="s">
        <v>52</v>
      </c>
      <c r="E92" s="10" t="s">
        <v>420</v>
      </c>
      <c r="F92" s="10" t="s">
        <v>421</v>
      </c>
      <c r="G92" s="10" t="s">
        <v>422</v>
      </c>
      <c r="H92" s="11"/>
      <c r="I92" s="12"/>
      <c r="J92" s="11" t="s">
        <v>5</v>
      </c>
      <c r="K92" s="11"/>
      <c r="L92" s="11"/>
    </row>
    <row r="93" customFormat="false" ht="23.85" hidden="false" customHeight="false" outlineLevel="0" collapsed="false">
      <c r="A93" s="10" t="s">
        <v>423</v>
      </c>
      <c r="B93" s="10" t="s">
        <v>19</v>
      </c>
      <c r="C93" s="10" t="s">
        <v>51</v>
      </c>
      <c r="D93" s="10" t="s">
        <v>52</v>
      </c>
      <c r="E93" s="10" t="s">
        <v>424</v>
      </c>
      <c r="F93" s="10" t="s">
        <v>425</v>
      </c>
      <c r="G93" s="10" t="s">
        <v>426</v>
      </c>
      <c r="H93" s="11"/>
      <c r="I93" s="12"/>
      <c r="J93" s="11" t="s">
        <v>5</v>
      </c>
      <c r="K93" s="11"/>
      <c r="L93" s="11"/>
    </row>
    <row r="94" customFormat="false" ht="23.85" hidden="false" customHeight="false" outlineLevel="0" collapsed="false">
      <c r="A94" s="10" t="s">
        <v>427</v>
      </c>
      <c r="B94" s="10" t="s">
        <v>19</v>
      </c>
      <c r="C94" s="10" t="s">
        <v>51</v>
      </c>
      <c r="D94" s="10" t="s">
        <v>52</v>
      </c>
      <c r="E94" s="10" t="s">
        <v>428</v>
      </c>
      <c r="F94" s="10" t="s">
        <v>429</v>
      </c>
      <c r="G94" s="10" t="s">
        <v>430</v>
      </c>
      <c r="H94" s="11"/>
      <c r="I94" s="12"/>
      <c r="J94" s="11" t="s">
        <v>5</v>
      </c>
      <c r="K94" s="11"/>
      <c r="L94" s="11"/>
    </row>
    <row r="95" customFormat="false" ht="23.85" hidden="false" customHeight="false" outlineLevel="0" collapsed="false">
      <c r="A95" s="10" t="s">
        <v>431</v>
      </c>
      <c r="B95" s="10" t="s">
        <v>19</v>
      </c>
      <c r="C95" s="10" t="s">
        <v>51</v>
      </c>
      <c r="D95" s="10" t="s">
        <v>52</v>
      </c>
      <c r="E95" s="10" t="s">
        <v>276</v>
      </c>
      <c r="F95" s="10" t="s">
        <v>432</v>
      </c>
      <c r="G95" s="10" t="s">
        <v>433</v>
      </c>
      <c r="H95" s="11"/>
      <c r="I95" s="12"/>
      <c r="J95" s="11" t="s">
        <v>5</v>
      </c>
      <c r="K95" s="11"/>
      <c r="L95" s="11"/>
    </row>
    <row r="96" customFormat="false" ht="23.85" hidden="false" customHeight="false" outlineLevel="0" collapsed="false">
      <c r="A96" s="10" t="s">
        <v>434</v>
      </c>
      <c r="B96" s="10" t="s">
        <v>19</v>
      </c>
      <c r="C96" s="10" t="s">
        <v>75</v>
      </c>
      <c r="D96" s="10" t="s">
        <v>52</v>
      </c>
      <c r="E96" s="10" t="s">
        <v>435</v>
      </c>
      <c r="F96" s="10" t="s">
        <v>436</v>
      </c>
      <c r="G96" s="10" t="s">
        <v>437</v>
      </c>
      <c r="H96" s="11"/>
      <c r="I96" s="12"/>
      <c r="J96" s="11" t="s">
        <v>5</v>
      </c>
      <c r="K96" s="11"/>
      <c r="L96" s="11"/>
    </row>
    <row r="97" customFormat="false" ht="23.85" hidden="false" customHeight="false" outlineLevel="0" collapsed="false">
      <c r="A97" s="10" t="s">
        <v>438</v>
      </c>
      <c r="B97" s="10" t="s">
        <v>19</v>
      </c>
      <c r="C97" s="10" t="s">
        <v>75</v>
      </c>
      <c r="D97" s="10" t="s">
        <v>52</v>
      </c>
      <c r="E97" s="10" t="s">
        <v>439</v>
      </c>
      <c r="F97" s="10" t="s">
        <v>440</v>
      </c>
      <c r="G97" s="10" t="s">
        <v>441</v>
      </c>
      <c r="H97" s="11"/>
      <c r="I97" s="12"/>
      <c r="J97" s="11" t="s">
        <v>5</v>
      </c>
      <c r="K97" s="11"/>
      <c r="L97" s="11"/>
    </row>
    <row r="98" customFormat="false" ht="23.85" hidden="false" customHeight="false" outlineLevel="0" collapsed="false">
      <c r="A98" s="10" t="s">
        <v>442</v>
      </c>
      <c r="B98" s="10" t="s">
        <v>19</v>
      </c>
      <c r="C98" s="10" t="s">
        <v>75</v>
      </c>
      <c r="D98" s="10" t="s">
        <v>52</v>
      </c>
      <c r="E98" s="10" t="s">
        <v>443</v>
      </c>
      <c r="F98" s="10" t="s">
        <v>444</v>
      </c>
      <c r="G98" s="10" t="s">
        <v>445</v>
      </c>
      <c r="H98" s="11"/>
      <c r="I98" s="12"/>
      <c r="J98" s="11" t="s">
        <v>5</v>
      </c>
      <c r="K98" s="11"/>
      <c r="L98" s="11"/>
    </row>
    <row r="99" customFormat="false" ht="23.85" hidden="false" customHeight="false" outlineLevel="0" collapsed="false">
      <c r="A99" s="10" t="s">
        <v>446</v>
      </c>
      <c r="B99" s="10" t="s">
        <v>19</v>
      </c>
      <c r="C99" s="10" t="s">
        <v>75</v>
      </c>
      <c r="D99" s="10" t="s">
        <v>52</v>
      </c>
      <c r="E99" s="10" t="s">
        <v>447</v>
      </c>
      <c r="F99" s="10" t="s">
        <v>448</v>
      </c>
      <c r="G99" s="10" t="s">
        <v>449</v>
      </c>
      <c r="H99" s="11"/>
      <c r="I99" s="12"/>
      <c r="J99" s="11" t="s">
        <v>5</v>
      </c>
      <c r="K99" s="11"/>
      <c r="L99" s="11"/>
    </row>
    <row r="100" customFormat="false" ht="23.85" hidden="false" customHeight="false" outlineLevel="0" collapsed="false">
      <c r="A100" s="10" t="s">
        <v>450</v>
      </c>
      <c r="B100" s="10" t="s">
        <v>19</v>
      </c>
      <c r="C100" s="10" t="s">
        <v>51</v>
      </c>
      <c r="D100" s="10" t="s">
        <v>52</v>
      </c>
      <c r="E100" s="10" t="s">
        <v>451</v>
      </c>
      <c r="F100" s="10" t="s">
        <v>452</v>
      </c>
      <c r="G100" s="10" t="s">
        <v>453</v>
      </c>
      <c r="H100" s="11"/>
      <c r="I100" s="12"/>
      <c r="J100" s="11" t="s">
        <v>5</v>
      </c>
      <c r="K100" s="11"/>
      <c r="L100" s="11"/>
    </row>
    <row r="101" customFormat="false" ht="23.85" hidden="false" customHeight="false" outlineLevel="0" collapsed="false">
      <c r="A101" s="10" t="s">
        <v>454</v>
      </c>
      <c r="B101" s="10" t="s">
        <v>20</v>
      </c>
      <c r="C101" s="10" t="s">
        <v>51</v>
      </c>
      <c r="D101" s="10" t="s">
        <v>84</v>
      </c>
      <c r="E101" s="10" t="s">
        <v>455</v>
      </c>
      <c r="F101" s="10" t="s">
        <v>456</v>
      </c>
      <c r="G101" s="10" t="s">
        <v>457</v>
      </c>
      <c r="H101" s="11"/>
      <c r="I101" s="12"/>
      <c r="J101" s="11" t="s">
        <v>5</v>
      </c>
      <c r="K101" s="11"/>
      <c r="L101" s="11"/>
    </row>
    <row r="102" customFormat="false" ht="23.85" hidden="false" customHeight="false" outlineLevel="0" collapsed="false">
      <c r="A102" s="10" t="s">
        <v>458</v>
      </c>
      <c r="B102" s="10" t="s">
        <v>20</v>
      </c>
      <c r="C102" s="10" t="s">
        <v>75</v>
      </c>
      <c r="D102" s="10" t="s">
        <v>84</v>
      </c>
      <c r="E102" s="10" t="s">
        <v>459</v>
      </c>
      <c r="F102" s="10" t="s">
        <v>460</v>
      </c>
      <c r="G102" s="10" t="s">
        <v>461</v>
      </c>
      <c r="H102" s="11"/>
      <c r="I102" s="12"/>
      <c r="J102" s="11" t="s">
        <v>5</v>
      </c>
      <c r="K102" s="11"/>
      <c r="L102" s="11"/>
    </row>
    <row r="103" customFormat="false" ht="23.85" hidden="false" customHeight="false" outlineLevel="0" collapsed="false">
      <c r="A103" s="10" t="s">
        <v>462</v>
      </c>
      <c r="B103" s="10" t="s">
        <v>20</v>
      </c>
      <c r="C103" s="10" t="s">
        <v>75</v>
      </c>
      <c r="D103" s="10" t="s">
        <v>52</v>
      </c>
      <c r="E103" s="10" t="s">
        <v>463</v>
      </c>
      <c r="F103" s="10" t="s">
        <v>381</v>
      </c>
      <c r="G103" s="10" t="s">
        <v>464</v>
      </c>
      <c r="H103" s="11"/>
      <c r="I103" s="12"/>
      <c r="J103" s="11" t="s">
        <v>5</v>
      </c>
      <c r="K103" s="11"/>
      <c r="L103" s="11"/>
    </row>
    <row r="104" customFormat="false" ht="23.85" hidden="false" customHeight="false" outlineLevel="0" collapsed="false">
      <c r="A104" s="10" t="s">
        <v>465</v>
      </c>
      <c r="B104" s="10" t="s">
        <v>20</v>
      </c>
      <c r="C104" s="10" t="s">
        <v>75</v>
      </c>
      <c r="D104" s="10" t="s">
        <v>52</v>
      </c>
      <c r="E104" s="10" t="s">
        <v>466</v>
      </c>
      <c r="F104" s="10" t="s">
        <v>467</v>
      </c>
      <c r="G104" s="10" t="s">
        <v>468</v>
      </c>
      <c r="H104" s="11"/>
      <c r="I104" s="12"/>
      <c r="J104" s="11" t="s">
        <v>5</v>
      </c>
      <c r="K104" s="11"/>
      <c r="L104" s="11"/>
    </row>
    <row r="105" customFormat="false" ht="23.85" hidden="false" customHeight="false" outlineLevel="0" collapsed="false">
      <c r="A105" s="10" t="s">
        <v>469</v>
      </c>
      <c r="B105" s="10" t="s">
        <v>20</v>
      </c>
      <c r="C105" s="10" t="s">
        <v>75</v>
      </c>
      <c r="D105" s="10" t="s">
        <v>52</v>
      </c>
      <c r="E105" s="10" t="s">
        <v>470</v>
      </c>
      <c r="F105" s="10" t="s">
        <v>471</v>
      </c>
      <c r="G105" s="10" t="s">
        <v>472</v>
      </c>
      <c r="H105" s="11"/>
      <c r="I105" s="12"/>
      <c r="J105" s="11" t="s">
        <v>5</v>
      </c>
      <c r="K105" s="11"/>
      <c r="L105" s="11"/>
    </row>
    <row r="106" customFormat="false" ht="23.85" hidden="false" customHeight="false" outlineLevel="0" collapsed="false">
      <c r="A106" s="10" t="s">
        <v>473</v>
      </c>
      <c r="B106" s="10" t="s">
        <v>20</v>
      </c>
      <c r="C106" s="10" t="s">
        <v>75</v>
      </c>
      <c r="D106" s="10" t="s">
        <v>66</v>
      </c>
      <c r="E106" s="10" t="s">
        <v>474</v>
      </c>
      <c r="F106" s="10" t="s">
        <v>475</v>
      </c>
      <c r="G106" s="10" t="s">
        <v>476</v>
      </c>
      <c r="H106" s="11"/>
      <c r="I106" s="12"/>
      <c r="J106" s="11" t="s">
        <v>5</v>
      </c>
      <c r="K106" s="11"/>
      <c r="L106" s="11"/>
    </row>
    <row r="107" customFormat="false" ht="23.85" hidden="false" customHeight="false" outlineLevel="0" collapsed="false">
      <c r="A107" s="10" t="s">
        <v>477</v>
      </c>
      <c r="B107" s="10" t="s">
        <v>20</v>
      </c>
      <c r="C107" s="10" t="s">
        <v>75</v>
      </c>
      <c r="D107" s="10" t="s">
        <v>52</v>
      </c>
      <c r="E107" s="10" t="s">
        <v>478</v>
      </c>
      <c r="F107" s="10" t="s">
        <v>479</v>
      </c>
      <c r="G107" s="10" t="s">
        <v>480</v>
      </c>
      <c r="H107" s="11"/>
      <c r="I107" s="12"/>
      <c r="J107" s="11" t="s">
        <v>5</v>
      </c>
      <c r="K107" s="11"/>
      <c r="L107" s="11"/>
    </row>
    <row r="108" customFormat="false" ht="23.85" hidden="false" customHeight="false" outlineLevel="0" collapsed="false">
      <c r="A108" s="10" t="s">
        <v>481</v>
      </c>
      <c r="B108" s="10" t="s">
        <v>20</v>
      </c>
      <c r="C108" s="10" t="s">
        <v>105</v>
      </c>
      <c r="D108" s="10" t="s">
        <v>52</v>
      </c>
      <c r="E108" s="10" t="s">
        <v>482</v>
      </c>
      <c r="F108" s="10" t="s">
        <v>483</v>
      </c>
      <c r="G108" s="10" t="s">
        <v>484</v>
      </c>
      <c r="H108" s="11"/>
      <c r="I108" s="12"/>
      <c r="J108" s="11" t="s">
        <v>5</v>
      </c>
      <c r="K108" s="11"/>
      <c r="L108" s="11"/>
    </row>
    <row r="109" customFormat="false" ht="23.85" hidden="false" customHeight="false" outlineLevel="0" collapsed="false">
      <c r="A109" s="10" t="s">
        <v>485</v>
      </c>
      <c r="B109" s="10" t="s">
        <v>20</v>
      </c>
      <c r="C109" s="10" t="s">
        <v>105</v>
      </c>
      <c r="D109" s="10" t="s">
        <v>84</v>
      </c>
      <c r="E109" s="10" t="s">
        <v>486</v>
      </c>
      <c r="F109" s="10" t="s">
        <v>487</v>
      </c>
      <c r="G109" s="10" t="s">
        <v>488</v>
      </c>
      <c r="H109" s="11"/>
      <c r="I109" s="12"/>
      <c r="J109" s="11" t="s">
        <v>5</v>
      </c>
      <c r="K109" s="11"/>
      <c r="L109" s="11"/>
    </row>
    <row r="110" customFormat="false" ht="23.85" hidden="false" customHeight="false" outlineLevel="0" collapsed="false">
      <c r="A110" s="10" t="s">
        <v>489</v>
      </c>
      <c r="B110" s="10" t="s">
        <v>21</v>
      </c>
      <c r="C110" s="10" t="s">
        <v>51</v>
      </c>
      <c r="D110" s="10" t="s">
        <v>66</v>
      </c>
      <c r="E110" s="10" t="s">
        <v>490</v>
      </c>
      <c r="F110" s="10" t="s">
        <v>491</v>
      </c>
      <c r="G110" s="10" t="s">
        <v>492</v>
      </c>
      <c r="H110" s="11"/>
      <c r="I110" s="12"/>
      <c r="J110" s="11" t="s">
        <v>5</v>
      </c>
      <c r="K110" s="11"/>
      <c r="L110" s="11"/>
    </row>
    <row r="111" customFormat="false" ht="23.85" hidden="false" customHeight="false" outlineLevel="0" collapsed="false">
      <c r="A111" s="10" t="s">
        <v>493</v>
      </c>
      <c r="B111" s="10" t="s">
        <v>21</v>
      </c>
      <c r="C111" s="10" t="s">
        <v>51</v>
      </c>
      <c r="D111" s="10" t="s">
        <v>52</v>
      </c>
      <c r="E111" s="10" t="s">
        <v>494</v>
      </c>
      <c r="F111" s="10" t="s">
        <v>495</v>
      </c>
      <c r="G111" s="10" t="s">
        <v>496</v>
      </c>
      <c r="H111" s="11"/>
      <c r="I111" s="12"/>
      <c r="J111" s="11" t="s">
        <v>5</v>
      </c>
      <c r="K111" s="11"/>
      <c r="L111" s="11"/>
    </row>
    <row r="112" customFormat="false" ht="23.85" hidden="false" customHeight="false" outlineLevel="0" collapsed="false">
      <c r="A112" s="10" t="s">
        <v>497</v>
      </c>
      <c r="B112" s="10" t="s">
        <v>21</v>
      </c>
      <c r="C112" s="10" t="s">
        <v>75</v>
      </c>
      <c r="D112" s="10" t="s">
        <v>66</v>
      </c>
      <c r="E112" s="10" t="s">
        <v>498</v>
      </c>
      <c r="F112" s="10" t="s">
        <v>499</v>
      </c>
      <c r="G112" s="10" t="s">
        <v>500</v>
      </c>
      <c r="H112" s="11"/>
      <c r="I112" s="12"/>
      <c r="J112" s="11" t="s">
        <v>5</v>
      </c>
      <c r="K112" s="11"/>
      <c r="L112" s="11"/>
    </row>
    <row r="113" customFormat="false" ht="23.85" hidden="false" customHeight="false" outlineLevel="0" collapsed="false">
      <c r="A113" s="10" t="s">
        <v>501</v>
      </c>
      <c r="B113" s="10" t="s">
        <v>21</v>
      </c>
      <c r="C113" s="10" t="s">
        <v>75</v>
      </c>
      <c r="D113" s="10" t="s">
        <v>66</v>
      </c>
      <c r="E113" s="10" t="s">
        <v>502</v>
      </c>
      <c r="F113" s="10" t="s">
        <v>503</v>
      </c>
      <c r="G113" s="10" t="s">
        <v>504</v>
      </c>
      <c r="H113" s="11"/>
      <c r="I113" s="12"/>
      <c r="J113" s="11" t="s">
        <v>5</v>
      </c>
      <c r="K113" s="11"/>
      <c r="L113" s="11"/>
    </row>
    <row r="114" customFormat="false" ht="23.85" hidden="false" customHeight="false" outlineLevel="0" collapsed="false">
      <c r="A114" s="10" t="s">
        <v>505</v>
      </c>
      <c r="B114" s="10" t="s">
        <v>21</v>
      </c>
      <c r="C114" s="10" t="s">
        <v>75</v>
      </c>
      <c r="D114" s="10" t="s">
        <v>66</v>
      </c>
      <c r="E114" s="10" t="s">
        <v>506</v>
      </c>
      <c r="F114" s="10" t="s">
        <v>507</v>
      </c>
      <c r="G114" s="10" t="s">
        <v>508</v>
      </c>
      <c r="H114" s="11"/>
      <c r="I114" s="12"/>
      <c r="J114" s="11" t="s">
        <v>5</v>
      </c>
      <c r="K114" s="11"/>
      <c r="L114" s="11"/>
    </row>
    <row r="115" customFormat="false" ht="23.85" hidden="false" customHeight="false" outlineLevel="0" collapsed="false">
      <c r="A115" s="10" t="s">
        <v>509</v>
      </c>
      <c r="B115" s="10" t="s">
        <v>21</v>
      </c>
      <c r="C115" s="10" t="s">
        <v>51</v>
      </c>
      <c r="D115" s="10" t="s">
        <v>57</v>
      </c>
      <c r="E115" s="10" t="s">
        <v>510</v>
      </c>
      <c r="F115" s="10" t="s">
        <v>511</v>
      </c>
      <c r="G115" s="10" t="s">
        <v>512</v>
      </c>
      <c r="H115" s="11"/>
      <c r="I115" s="12"/>
      <c r="J115" s="11" t="s">
        <v>5</v>
      </c>
      <c r="K115" s="11"/>
      <c r="L115" s="11"/>
    </row>
    <row r="116" customFormat="false" ht="23.85" hidden="false" customHeight="false" outlineLevel="0" collapsed="false">
      <c r="A116" s="10" t="s">
        <v>513</v>
      </c>
      <c r="B116" s="10" t="s">
        <v>21</v>
      </c>
      <c r="C116" s="10" t="s">
        <v>75</v>
      </c>
      <c r="D116" s="10" t="s">
        <v>66</v>
      </c>
      <c r="E116" s="10" t="s">
        <v>514</v>
      </c>
      <c r="F116" s="10" t="s">
        <v>515</v>
      </c>
      <c r="G116" s="10" t="s">
        <v>516</v>
      </c>
      <c r="H116" s="11"/>
      <c r="I116" s="12"/>
      <c r="J116" s="11" t="s">
        <v>5</v>
      </c>
      <c r="K116" s="11"/>
      <c r="L116" s="11"/>
    </row>
    <row r="117" customFormat="false" ht="23.85" hidden="false" customHeight="false" outlineLevel="0" collapsed="false">
      <c r="A117" s="10" t="s">
        <v>517</v>
      </c>
      <c r="B117" s="10" t="s">
        <v>21</v>
      </c>
      <c r="C117" s="10" t="s">
        <v>75</v>
      </c>
      <c r="D117" s="10" t="s">
        <v>52</v>
      </c>
      <c r="E117" s="10" t="s">
        <v>518</v>
      </c>
      <c r="F117" s="10" t="s">
        <v>519</v>
      </c>
      <c r="G117" s="10" t="s">
        <v>520</v>
      </c>
      <c r="H117" s="11"/>
      <c r="I117" s="12"/>
      <c r="J117" s="11" t="s">
        <v>5</v>
      </c>
      <c r="K117" s="11"/>
      <c r="L117" s="11"/>
    </row>
    <row r="118" customFormat="false" ht="23.85" hidden="false" customHeight="false" outlineLevel="0" collapsed="false">
      <c r="A118" s="10" t="s">
        <v>521</v>
      </c>
      <c r="B118" s="10" t="s">
        <v>21</v>
      </c>
      <c r="C118" s="10" t="s">
        <v>75</v>
      </c>
      <c r="D118" s="10" t="s">
        <v>52</v>
      </c>
      <c r="E118" s="10" t="s">
        <v>522</v>
      </c>
      <c r="F118" s="10" t="s">
        <v>523</v>
      </c>
      <c r="G118" s="10" t="s">
        <v>524</v>
      </c>
      <c r="H118" s="11"/>
      <c r="I118" s="12"/>
      <c r="J118" s="11" t="s">
        <v>5</v>
      </c>
      <c r="K118" s="11"/>
      <c r="L118" s="11"/>
    </row>
    <row r="119" customFormat="false" ht="23.85" hidden="false" customHeight="false" outlineLevel="0" collapsed="false">
      <c r="A119" s="10" t="s">
        <v>525</v>
      </c>
      <c r="B119" s="10" t="s">
        <v>21</v>
      </c>
      <c r="C119" s="10" t="s">
        <v>75</v>
      </c>
      <c r="D119" s="10" t="s">
        <v>57</v>
      </c>
      <c r="E119" s="10" t="s">
        <v>526</v>
      </c>
      <c r="F119" s="10" t="s">
        <v>527</v>
      </c>
      <c r="G119" s="10" t="s">
        <v>528</v>
      </c>
      <c r="H119" s="11"/>
      <c r="I119" s="12"/>
      <c r="J119" s="11" t="s">
        <v>5</v>
      </c>
      <c r="K119" s="11"/>
      <c r="L119" s="11"/>
    </row>
    <row r="120" customFormat="false" ht="23.85" hidden="false" customHeight="false" outlineLevel="0" collapsed="false">
      <c r="A120" s="10" t="s">
        <v>529</v>
      </c>
      <c r="B120" s="10" t="s">
        <v>21</v>
      </c>
      <c r="C120" s="10" t="s">
        <v>51</v>
      </c>
      <c r="D120" s="10" t="s">
        <v>57</v>
      </c>
      <c r="E120" s="10" t="s">
        <v>530</v>
      </c>
      <c r="F120" s="10" t="s">
        <v>531</v>
      </c>
      <c r="G120" s="10" t="s">
        <v>532</v>
      </c>
      <c r="H120" s="11"/>
      <c r="I120" s="12"/>
      <c r="J120" s="11" t="s">
        <v>5</v>
      </c>
      <c r="K120" s="11"/>
      <c r="L120" s="11"/>
    </row>
    <row r="121" customFormat="false" ht="15" hidden="false" customHeight="false" outlineLevel="0" collapsed="false">
      <c r="A121" s="10" t="s">
        <v>533</v>
      </c>
      <c r="B121" s="10" t="s">
        <v>22</v>
      </c>
      <c r="C121" s="10" t="s">
        <v>51</v>
      </c>
      <c r="D121" s="10" t="s">
        <v>57</v>
      </c>
      <c r="E121" s="10" t="s">
        <v>534</v>
      </c>
      <c r="F121" s="10" t="s">
        <v>535</v>
      </c>
      <c r="G121" s="10" t="s">
        <v>536</v>
      </c>
      <c r="H121" s="11"/>
      <c r="I121" s="12"/>
      <c r="J121" s="11" t="s">
        <v>5</v>
      </c>
      <c r="K121" s="11"/>
      <c r="L121" s="11"/>
    </row>
    <row r="122" customFormat="false" ht="23.85" hidden="false" customHeight="false" outlineLevel="0" collapsed="false">
      <c r="A122" s="10" t="s">
        <v>537</v>
      </c>
      <c r="B122" s="10" t="s">
        <v>22</v>
      </c>
      <c r="C122" s="10" t="s">
        <v>51</v>
      </c>
      <c r="D122" s="10" t="s">
        <v>57</v>
      </c>
      <c r="E122" s="10" t="s">
        <v>538</v>
      </c>
      <c r="F122" s="10" t="s">
        <v>539</v>
      </c>
      <c r="G122" s="10" t="s">
        <v>540</v>
      </c>
      <c r="H122" s="11"/>
      <c r="I122" s="12"/>
      <c r="J122" s="11" t="s">
        <v>5</v>
      </c>
      <c r="K122" s="11"/>
      <c r="L122" s="11"/>
    </row>
    <row r="123" customFormat="false" ht="15" hidden="false" customHeight="false" outlineLevel="0" collapsed="false">
      <c r="A123" s="10" t="s">
        <v>541</v>
      </c>
      <c r="B123" s="10" t="s">
        <v>22</v>
      </c>
      <c r="C123" s="10" t="s">
        <v>51</v>
      </c>
      <c r="D123" s="10" t="s">
        <v>57</v>
      </c>
      <c r="E123" s="10" t="s">
        <v>542</v>
      </c>
      <c r="F123" s="10" t="s">
        <v>543</v>
      </c>
      <c r="G123" s="10" t="s">
        <v>544</v>
      </c>
      <c r="H123" s="11"/>
      <c r="I123" s="12"/>
      <c r="J123" s="11" t="s">
        <v>5</v>
      </c>
      <c r="K123" s="11"/>
      <c r="L123" s="11"/>
    </row>
    <row r="124" customFormat="false" ht="23.85" hidden="false" customHeight="false" outlineLevel="0" collapsed="false">
      <c r="A124" s="10" t="s">
        <v>545</v>
      </c>
      <c r="B124" s="10" t="s">
        <v>22</v>
      </c>
      <c r="C124" s="10" t="s">
        <v>51</v>
      </c>
      <c r="D124" s="10" t="s">
        <v>57</v>
      </c>
      <c r="E124" s="10" t="s">
        <v>546</v>
      </c>
      <c r="F124" s="10" t="s">
        <v>547</v>
      </c>
      <c r="G124" s="10" t="s">
        <v>548</v>
      </c>
      <c r="H124" s="11"/>
      <c r="I124" s="12"/>
      <c r="J124" s="11" t="s">
        <v>5</v>
      </c>
      <c r="K124" s="11"/>
      <c r="L124" s="11"/>
    </row>
    <row r="125" customFormat="false" ht="23.85" hidden="false" customHeight="false" outlineLevel="0" collapsed="false">
      <c r="A125" s="10" t="s">
        <v>549</v>
      </c>
      <c r="B125" s="10" t="s">
        <v>22</v>
      </c>
      <c r="C125" s="10" t="s">
        <v>75</v>
      </c>
      <c r="D125" s="10" t="s">
        <v>57</v>
      </c>
      <c r="E125" s="10" t="s">
        <v>550</v>
      </c>
      <c r="F125" s="10" t="s">
        <v>551</v>
      </c>
      <c r="G125" s="10" t="s">
        <v>552</v>
      </c>
      <c r="H125" s="11"/>
      <c r="I125" s="12"/>
      <c r="J125" s="11" t="s">
        <v>5</v>
      </c>
      <c r="K125" s="11"/>
      <c r="L125" s="11"/>
    </row>
    <row r="126" customFormat="false" ht="23.85" hidden="false" customHeight="false" outlineLevel="0" collapsed="false">
      <c r="A126" s="10" t="s">
        <v>553</v>
      </c>
      <c r="B126" s="10" t="s">
        <v>22</v>
      </c>
      <c r="C126" s="10" t="s">
        <v>51</v>
      </c>
      <c r="D126" s="10" t="s">
        <v>57</v>
      </c>
      <c r="E126" s="10" t="s">
        <v>554</v>
      </c>
      <c r="F126" s="10" t="s">
        <v>555</v>
      </c>
      <c r="G126" s="10" t="s">
        <v>556</v>
      </c>
      <c r="H126" s="11"/>
      <c r="I126" s="12"/>
      <c r="J126" s="11" t="s">
        <v>5</v>
      </c>
      <c r="K126" s="11"/>
      <c r="L126" s="11"/>
    </row>
    <row r="127" customFormat="false" ht="15" hidden="false" customHeight="false" outlineLevel="0" collapsed="false">
      <c r="A127" s="10" t="s">
        <v>557</v>
      </c>
      <c r="B127" s="10" t="s">
        <v>22</v>
      </c>
      <c r="C127" s="10" t="s">
        <v>51</v>
      </c>
      <c r="D127" s="10" t="s">
        <v>57</v>
      </c>
      <c r="E127" s="10" t="s">
        <v>558</v>
      </c>
      <c r="F127" s="10" t="s">
        <v>559</v>
      </c>
      <c r="G127" s="10" t="s">
        <v>560</v>
      </c>
      <c r="H127" s="11"/>
      <c r="I127" s="12"/>
      <c r="J127" s="11" t="s">
        <v>5</v>
      </c>
      <c r="K127" s="11"/>
      <c r="L127" s="11"/>
    </row>
    <row r="128" customFormat="false" ht="15" hidden="false" customHeight="false" outlineLevel="0" collapsed="false">
      <c r="A128" s="10" t="s">
        <v>561</v>
      </c>
      <c r="B128" s="10" t="s">
        <v>22</v>
      </c>
      <c r="C128" s="10" t="s">
        <v>75</v>
      </c>
      <c r="D128" s="10" t="s">
        <v>57</v>
      </c>
      <c r="E128" s="10" t="s">
        <v>562</v>
      </c>
      <c r="F128" s="10" t="s">
        <v>563</v>
      </c>
      <c r="G128" s="10" t="s">
        <v>564</v>
      </c>
      <c r="H128" s="11"/>
      <c r="I128" s="12"/>
      <c r="J128" s="11" t="s">
        <v>5</v>
      </c>
      <c r="K128" s="11"/>
      <c r="L128" s="11"/>
    </row>
    <row r="129" customFormat="false" ht="23.85" hidden="false" customHeight="false" outlineLevel="0" collapsed="false">
      <c r="A129" s="10" t="s">
        <v>565</v>
      </c>
      <c r="B129" s="10" t="s">
        <v>22</v>
      </c>
      <c r="C129" s="10" t="s">
        <v>75</v>
      </c>
      <c r="D129" s="10" t="s">
        <v>57</v>
      </c>
      <c r="E129" s="10" t="s">
        <v>566</v>
      </c>
      <c r="F129" s="10" t="s">
        <v>567</v>
      </c>
      <c r="G129" s="10" t="s">
        <v>568</v>
      </c>
      <c r="H129" s="11"/>
      <c r="I129" s="12"/>
      <c r="J129" s="11" t="s">
        <v>5</v>
      </c>
      <c r="K129" s="11"/>
      <c r="L129" s="11"/>
    </row>
    <row r="130" customFormat="false" ht="23.85" hidden="false" customHeight="false" outlineLevel="0" collapsed="false">
      <c r="A130" s="10" t="s">
        <v>569</v>
      </c>
      <c r="B130" s="10" t="s">
        <v>22</v>
      </c>
      <c r="C130" s="10" t="s">
        <v>75</v>
      </c>
      <c r="D130" s="10" t="s">
        <v>57</v>
      </c>
      <c r="E130" s="10" t="s">
        <v>570</v>
      </c>
      <c r="F130" s="10" t="s">
        <v>571</v>
      </c>
      <c r="G130" s="10" t="s">
        <v>572</v>
      </c>
      <c r="H130" s="11"/>
      <c r="I130" s="12"/>
      <c r="J130" s="11" t="s">
        <v>5</v>
      </c>
      <c r="K130" s="11"/>
      <c r="L130" s="11"/>
    </row>
    <row r="131" customFormat="false" ht="15" hidden="false" customHeight="false" outlineLevel="0" collapsed="false">
      <c r="A131" s="10" t="s">
        <v>573</v>
      </c>
      <c r="B131" s="10" t="s">
        <v>22</v>
      </c>
      <c r="C131" s="10" t="s">
        <v>105</v>
      </c>
      <c r="D131" s="10" t="s">
        <v>57</v>
      </c>
      <c r="E131" s="10" t="s">
        <v>416</v>
      </c>
      <c r="F131" s="10" t="s">
        <v>574</v>
      </c>
      <c r="G131" s="10" t="s">
        <v>575</v>
      </c>
      <c r="H131" s="11"/>
      <c r="I131" s="12"/>
      <c r="J131" s="11" t="s">
        <v>5</v>
      </c>
      <c r="K131" s="11"/>
      <c r="L131" s="11"/>
    </row>
    <row r="132" customFormat="false" ht="15" hidden="false" customHeight="false" outlineLevel="0" collapsed="false">
      <c r="A132" s="10" t="s">
        <v>576</v>
      </c>
      <c r="B132" s="10" t="s">
        <v>23</v>
      </c>
      <c r="C132" s="10" t="s">
        <v>51</v>
      </c>
      <c r="D132" s="10" t="s">
        <v>57</v>
      </c>
      <c r="E132" s="10" t="s">
        <v>577</v>
      </c>
      <c r="F132" s="10" t="s">
        <v>578</v>
      </c>
      <c r="G132" s="10" t="s">
        <v>579</v>
      </c>
      <c r="H132" s="11"/>
      <c r="I132" s="12"/>
      <c r="J132" s="11" t="s">
        <v>5</v>
      </c>
      <c r="K132" s="11"/>
      <c r="L132" s="11"/>
    </row>
    <row r="133" customFormat="false" ht="15" hidden="false" customHeight="false" outlineLevel="0" collapsed="false">
      <c r="A133" s="10" t="s">
        <v>580</v>
      </c>
      <c r="B133" s="10" t="s">
        <v>23</v>
      </c>
      <c r="C133" s="10" t="s">
        <v>51</v>
      </c>
      <c r="D133" s="10" t="s">
        <v>57</v>
      </c>
      <c r="E133" s="10" t="s">
        <v>581</v>
      </c>
      <c r="F133" s="10" t="s">
        <v>582</v>
      </c>
      <c r="G133" s="10" t="s">
        <v>583</v>
      </c>
      <c r="H133" s="11"/>
      <c r="I133" s="12"/>
      <c r="J133" s="11" t="s">
        <v>5</v>
      </c>
      <c r="K133" s="11"/>
      <c r="L133" s="11"/>
    </row>
    <row r="134" customFormat="false" ht="15" hidden="false" customHeight="false" outlineLevel="0" collapsed="false">
      <c r="A134" s="10" t="s">
        <v>584</v>
      </c>
      <c r="B134" s="10" t="s">
        <v>23</v>
      </c>
      <c r="C134" s="10" t="s">
        <v>51</v>
      </c>
      <c r="D134" s="10" t="s">
        <v>57</v>
      </c>
      <c r="E134" s="10" t="s">
        <v>585</v>
      </c>
      <c r="F134" s="10" t="s">
        <v>58</v>
      </c>
      <c r="G134" s="10" t="s">
        <v>586</v>
      </c>
      <c r="H134" s="11"/>
      <c r="I134" s="12"/>
      <c r="J134" s="11" t="s">
        <v>5</v>
      </c>
      <c r="K134" s="11"/>
      <c r="L134" s="11"/>
    </row>
    <row r="135" customFormat="false" ht="15" hidden="false" customHeight="false" outlineLevel="0" collapsed="false">
      <c r="A135" s="10" t="s">
        <v>587</v>
      </c>
      <c r="B135" s="10" t="s">
        <v>23</v>
      </c>
      <c r="C135" s="10" t="s">
        <v>51</v>
      </c>
      <c r="D135" s="10" t="s">
        <v>57</v>
      </c>
      <c r="E135" s="10" t="s">
        <v>588</v>
      </c>
      <c r="F135" s="10" t="s">
        <v>589</v>
      </c>
      <c r="G135" s="10" t="s">
        <v>590</v>
      </c>
      <c r="H135" s="11"/>
      <c r="I135" s="12"/>
      <c r="J135" s="11" t="s">
        <v>5</v>
      </c>
      <c r="K135" s="11"/>
      <c r="L135" s="11"/>
    </row>
    <row r="136" customFormat="false" ht="15" hidden="false" customHeight="false" outlineLevel="0" collapsed="false">
      <c r="A136" s="10" t="s">
        <v>591</v>
      </c>
      <c r="B136" s="10" t="s">
        <v>23</v>
      </c>
      <c r="C136" s="10" t="s">
        <v>51</v>
      </c>
      <c r="D136" s="10" t="s">
        <v>57</v>
      </c>
      <c r="E136" s="10" t="s">
        <v>592</v>
      </c>
      <c r="F136" s="10" t="s">
        <v>593</v>
      </c>
      <c r="G136" s="10" t="s">
        <v>594</v>
      </c>
      <c r="H136" s="11"/>
      <c r="I136" s="12"/>
      <c r="J136" s="11" t="s">
        <v>5</v>
      </c>
      <c r="K136" s="11"/>
      <c r="L136" s="11"/>
    </row>
    <row r="137" customFormat="false" ht="15" hidden="false" customHeight="false" outlineLevel="0" collapsed="false">
      <c r="A137" s="10" t="s">
        <v>595</v>
      </c>
      <c r="B137" s="10" t="s">
        <v>23</v>
      </c>
      <c r="C137" s="10" t="s">
        <v>51</v>
      </c>
      <c r="D137" s="10" t="s">
        <v>57</v>
      </c>
      <c r="E137" s="10" t="s">
        <v>596</v>
      </c>
      <c r="F137" s="10" t="s">
        <v>597</v>
      </c>
      <c r="G137" s="10" t="s">
        <v>594</v>
      </c>
      <c r="H137" s="11"/>
      <c r="I137" s="12"/>
      <c r="J137" s="11" t="s">
        <v>5</v>
      </c>
      <c r="K137" s="11"/>
      <c r="L137" s="11"/>
    </row>
    <row r="138" customFormat="false" ht="15" hidden="false" customHeight="false" outlineLevel="0" collapsed="false">
      <c r="A138" s="10" t="s">
        <v>598</v>
      </c>
      <c r="B138" s="10" t="s">
        <v>23</v>
      </c>
      <c r="C138" s="10" t="s">
        <v>51</v>
      </c>
      <c r="D138" s="10" t="s">
        <v>57</v>
      </c>
      <c r="E138" s="10" t="s">
        <v>599</v>
      </c>
      <c r="F138" s="10" t="s">
        <v>600</v>
      </c>
      <c r="G138" s="10" t="s">
        <v>601</v>
      </c>
      <c r="H138" s="11"/>
      <c r="I138" s="12"/>
      <c r="J138" s="11" t="s">
        <v>5</v>
      </c>
      <c r="K138" s="11"/>
      <c r="L138" s="11"/>
    </row>
    <row r="139" customFormat="false" ht="15" hidden="false" customHeight="false" outlineLevel="0" collapsed="false">
      <c r="A139" s="10" t="s">
        <v>602</v>
      </c>
      <c r="B139" s="10" t="s">
        <v>23</v>
      </c>
      <c r="C139" s="10" t="s">
        <v>51</v>
      </c>
      <c r="D139" s="10" t="s">
        <v>57</v>
      </c>
      <c r="E139" s="10" t="s">
        <v>603</v>
      </c>
      <c r="F139" s="10" t="s">
        <v>604</v>
      </c>
      <c r="G139" s="10" t="s">
        <v>605</v>
      </c>
      <c r="H139" s="11"/>
      <c r="I139" s="12"/>
      <c r="J139" s="11" t="s">
        <v>5</v>
      </c>
      <c r="K139" s="11"/>
      <c r="L139" s="11"/>
    </row>
    <row r="140" customFormat="false" ht="15" hidden="false" customHeight="false" outlineLevel="0" collapsed="false">
      <c r="A140" s="10" t="s">
        <v>606</v>
      </c>
      <c r="B140" s="10" t="s">
        <v>23</v>
      </c>
      <c r="C140" s="10" t="s">
        <v>51</v>
      </c>
      <c r="D140" s="10" t="s">
        <v>57</v>
      </c>
      <c r="E140" s="10" t="s">
        <v>607</v>
      </c>
      <c r="F140" s="10" t="s">
        <v>608</v>
      </c>
      <c r="G140" s="10" t="s">
        <v>609</v>
      </c>
      <c r="H140" s="11"/>
      <c r="I140" s="12"/>
      <c r="J140" s="11" t="s">
        <v>5</v>
      </c>
      <c r="K140" s="11"/>
      <c r="L140" s="11"/>
    </row>
    <row r="141" customFormat="false" ht="15" hidden="false" customHeight="false" outlineLevel="0" collapsed="false">
      <c r="A141" s="10" t="s">
        <v>610</v>
      </c>
      <c r="B141" s="10" t="s">
        <v>23</v>
      </c>
      <c r="C141" s="10" t="s">
        <v>51</v>
      </c>
      <c r="D141" s="10" t="s">
        <v>57</v>
      </c>
      <c r="E141" s="10" t="s">
        <v>611</v>
      </c>
      <c r="F141" s="10" t="s">
        <v>612</v>
      </c>
      <c r="G141" s="10" t="s">
        <v>613</v>
      </c>
      <c r="H141" s="11"/>
      <c r="I141" s="12"/>
      <c r="J141" s="11" t="s">
        <v>5</v>
      </c>
      <c r="K141" s="11"/>
      <c r="L141" s="11"/>
    </row>
    <row r="142" customFormat="false" ht="15" hidden="false" customHeight="false" outlineLevel="0" collapsed="false">
      <c r="A142" s="10" t="s">
        <v>614</v>
      </c>
      <c r="B142" s="10" t="s">
        <v>23</v>
      </c>
      <c r="C142" s="10" t="s">
        <v>51</v>
      </c>
      <c r="D142" s="10" t="s">
        <v>57</v>
      </c>
      <c r="E142" s="10" t="s">
        <v>615</v>
      </c>
      <c r="F142" s="10" t="s">
        <v>616</v>
      </c>
      <c r="G142" s="10" t="s">
        <v>617</v>
      </c>
      <c r="H142" s="11"/>
      <c r="I142" s="12"/>
      <c r="J142" s="11" t="s">
        <v>5</v>
      </c>
      <c r="K142" s="11"/>
      <c r="L142" s="11"/>
    </row>
    <row r="143" customFormat="false" ht="15" hidden="false" customHeight="false" outlineLevel="0" collapsed="false">
      <c r="A143" s="10" t="s">
        <v>618</v>
      </c>
      <c r="B143" s="10" t="s">
        <v>23</v>
      </c>
      <c r="C143" s="10" t="s">
        <v>75</v>
      </c>
      <c r="D143" s="10" t="s">
        <v>57</v>
      </c>
      <c r="E143" s="10" t="s">
        <v>619</v>
      </c>
      <c r="F143" s="10" t="s">
        <v>620</v>
      </c>
      <c r="G143" s="10" t="s">
        <v>621</v>
      </c>
      <c r="H143" s="11"/>
      <c r="I143" s="12"/>
      <c r="J143" s="11" t="s">
        <v>5</v>
      </c>
      <c r="K143" s="11"/>
      <c r="L143" s="11"/>
    </row>
    <row r="144" customFormat="false" ht="15" hidden="false" customHeight="false" outlineLevel="0" collapsed="false">
      <c r="A144" s="10" t="s">
        <v>622</v>
      </c>
      <c r="B144" s="10" t="s">
        <v>23</v>
      </c>
      <c r="C144" s="10" t="s">
        <v>75</v>
      </c>
      <c r="D144" s="10" t="s">
        <v>57</v>
      </c>
      <c r="E144" s="10" t="s">
        <v>623</v>
      </c>
      <c r="F144" s="10" t="s">
        <v>624</v>
      </c>
      <c r="G144" s="10" t="s">
        <v>625</v>
      </c>
      <c r="H144" s="11"/>
      <c r="I144" s="12"/>
      <c r="J144" s="11" t="s">
        <v>5</v>
      </c>
      <c r="K144" s="11"/>
      <c r="L144" s="11"/>
    </row>
    <row r="145" customFormat="false" ht="15" hidden="false" customHeight="false" outlineLevel="0" collapsed="false">
      <c r="A145" s="10" t="s">
        <v>626</v>
      </c>
      <c r="B145" s="10" t="s">
        <v>23</v>
      </c>
      <c r="C145" s="10" t="s">
        <v>75</v>
      </c>
      <c r="D145" s="10" t="s">
        <v>57</v>
      </c>
      <c r="E145" s="10" t="s">
        <v>627</v>
      </c>
      <c r="F145" s="10" t="s">
        <v>628</v>
      </c>
      <c r="G145" s="10" t="s">
        <v>629</v>
      </c>
      <c r="H145" s="11"/>
      <c r="I145" s="12"/>
      <c r="J145" s="11" t="s">
        <v>5</v>
      </c>
      <c r="K145" s="11"/>
      <c r="L145" s="11"/>
    </row>
    <row r="146" customFormat="false" ht="15" hidden="false" customHeight="false" outlineLevel="0" collapsed="false">
      <c r="A146" s="10" t="s">
        <v>630</v>
      </c>
      <c r="B146" s="10" t="s">
        <v>23</v>
      </c>
      <c r="C146" s="10" t="s">
        <v>51</v>
      </c>
      <c r="D146" s="10" t="s">
        <v>57</v>
      </c>
      <c r="E146" s="10" t="s">
        <v>631</v>
      </c>
      <c r="F146" s="10" t="s">
        <v>632</v>
      </c>
      <c r="G146" s="10" t="s">
        <v>633</v>
      </c>
      <c r="H146" s="11"/>
      <c r="I146" s="12"/>
      <c r="J146" s="11" t="s">
        <v>5</v>
      </c>
      <c r="K146" s="11"/>
      <c r="L146" s="11"/>
    </row>
    <row r="147" customFormat="false" ht="23.85" hidden="false" customHeight="false" outlineLevel="0" collapsed="false">
      <c r="A147" s="10" t="s">
        <v>634</v>
      </c>
      <c r="B147" s="10" t="s">
        <v>23</v>
      </c>
      <c r="C147" s="10" t="s">
        <v>75</v>
      </c>
      <c r="D147" s="10" t="s">
        <v>57</v>
      </c>
      <c r="E147" s="10" t="s">
        <v>85</v>
      </c>
      <c r="F147" s="10" t="s">
        <v>635</v>
      </c>
      <c r="G147" s="10" t="s">
        <v>636</v>
      </c>
      <c r="H147" s="11"/>
      <c r="I147" s="12"/>
      <c r="J147" s="11" t="s">
        <v>5</v>
      </c>
      <c r="K147" s="11"/>
      <c r="L147" s="11"/>
    </row>
    <row r="148" customFormat="false" ht="23.85" hidden="false" customHeight="false" outlineLevel="0" collapsed="false">
      <c r="A148" s="10" t="s">
        <v>637</v>
      </c>
      <c r="B148" s="10" t="s">
        <v>24</v>
      </c>
      <c r="C148" s="10" t="s">
        <v>51</v>
      </c>
      <c r="D148" s="10" t="s">
        <v>57</v>
      </c>
      <c r="E148" s="10" t="s">
        <v>638</v>
      </c>
      <c r="F148" s="10" t="s">
        <v>639</v>
      </c>
      <c r="G148" s="10" t="s">
        <v>640</v>
      </c>
      <c r="H148" s="11"/>
      <c r="I148" s="12"/>
      <c r="J148" s="11" t="s">
        <v>5</v>
      </c>
      <c r="K148" s="11"/>
      <c r="L148" s="11"/>
    </row>
    <row r="149" customFormat="false" ht="23.85" hidden="false" customHeight="false" outlineLevel="0" collapsed="false">
      <c r="A149" s="10" t="s">
        <v>641</v>
      </c>
      <c r="B149" s="10" t="s">
        <v>24</v>
      </c>
      <c r="C149" s="10" t="s">
        <v>51</v>
      </c>
      <c r="D149" s="10" t="s">
        <v>57</v>
      </c>
      <c r="E149" s="10" t="s">
        <v>642</v>
      </c>
      <c r="F149" s="10" t="s">
        <v>643</v>
      </c>
      <c r="G149" s="10" t="s">
        <v>644</v>
      </c>
      <c r="H149" s="11"/>
      <c r="I149" s="12"/>
      <c r="J149" s="11" t="s">
        <v>5</v>
      </c>
      <c r="K149" s="11"/>
      <c r="L149" s="11"/>
    </row>
    <row r="150" customFormat="false" ht="23.85" hidden="false" customHeight="false" outlineLevel="0" collapsed="false">
      <c r="A150" s="10" t="s">
        <v>645</v>
      </c>
      <c r="B150" s="10" t="s">
        <v>24</v>
      </c>
      <c r="C150" s="10" t="s">
        <v>75</v>
      </c>
      <c r="D150" s="10" t="s">
        <v>57</v>
      </c>
      <c r="E150" s="10" t="s">
        <v>646</v>
      </c>
      <c r="F150" s="10" t="s">
        <v>647</v>
      </c>
      <c r="G150" s="10" t="s">
        <v>648</v>
      </c>
      <c r="H150" s="11"/>
      <c r="I150" s="12"/>
      <c r="J150" s="11" t="s">
        <v>5</v>
      </c>
      <c r="K150" s="11"/>
      <c r="L150" s="11"/>
    </row>
    <row r="151" customFormat="false" ht="23.85" hidden="false" customHeight="false" outlineLevel="0" collapsed="false">
      <c r="A151" s="10" t="s">
        <v>649</v>
      </c>
      <c r="B151" s="10" t="s">
        <v>24</v>
      </c>
      <c r="C151" s="10" t="s">
        <v>51</v>
      </c>
      <c r="D151" s="10" t="s">
        <v>57</v>
      </c>
      <c r="E151" s="10" t="s">
        <v>599</v>
      </c>
      <c r="F151" s="10" t="s">
        <v>650</v>
      </c>
      <c r="G151" s="10" t="s">
        <v>651</v>
      </c>
      <c r="H151" s="11"/>
      <c r="I151" s="12"/>
      <c r="J151" s="11" t="s">
        <v>5</v>
      </c>
      <c r="K151" s="11"/>
      <c r="L151" s="11"/>
    </row>
    <row r="152" customFormat="false" ht="23.85" hidden="false" customHeight="false" outlineLevel="0" collapsed="false">
      <c r="A152" s="10" t="s">
        <v>652</v>
      </c>
      <c r="B152" s="10" t="s">
        <v>24</v>
      </c>
      <c r="C152" s="10" t="s">
        <v>51</v>
      </c>
      <c r="D152" s="10" t="s">
        <v>57</v>
      </c>
      <c r="E152" s="10" t="s">
        <v>653</v>
      </c>
      <c r="F152" s="10" t="s">
        <v>654</v>
      </c>
      <c r="G152" s="10" t="s">
        <v>655</v>
      </c>
      <c r="H152" s="11"/>
      <c r="I152" s="12"/>
      <c r="J152" s="11" t="s">
        <v>5</v>
      </c>
      <c r="K152" s="11"/>
      <c r="L152" s="11"/>
    </row>
    <row r="153" customFormat="false" ht="23.85" hidden="false" customHeight="false" outlineLevel="0" collapsed="false">
      <c r="A153" s="10" t="s">
        <v>656</v>
      </c>
      <c r="B153" s="10" t="s">
        <v>24</v>
      </c>
      <c r="C153" s="10" t="s">
        <v>51</v>
      </c>
      <c r="D153" s="10" t="s">
        <v>57</v>
      </c>
      <c r="E153" s="10" t="s">
        <v>611</v>
      </c>
      <c r="F153" s="10" t="s">
        <v>657</v>
      </c>
      <c r="G153" s="10" t="s">
        <v>658</v>
      </c>
      <c r="H153" s="11"/>
      <c r="I153" s="12"/>
      <c r="J153" s="11" t="s">
        <v>5</v>
      </c>
      <c r="K153" s="11"/>
      <c r="L153" s="11"/>
    </row>
    <row r="154" customFormat="false" ht="23.85" hidden="false" customHeight="false" outlineLevel="0" collapsed="false">
      <c r="A154" s="10" t="s">
        <v>659</v>
      </c>
      <c r="B154" s="10" t="s">
        <v>24</v>
      </c>
      <c r="C154" s="10" t="s">
        <v>51</v>
      </c>
      <c r="D154" s="10" t="s">
        <v>57</v>
      </c>
      <c r="E154" s="10" t="s">
        <v>660</v>
      </c>
      <c r="F154" s="10" t="s">
        <v>661</v>
      </c>
      <c r="G154" s="10" t="s">
        <v>662</v>
      </c>
      <c r="H154" s="11"/>
      <c r="I154" s="12"/>
      <c r="J154" s="11" t="s">
        <v>5</v>
      </c>
      <c r="K154" s="11"/>
      <c r="L154" s="11"/>
    </row>
    <row r="155" customFormat="false" ht="23.85" hidden="false" customHeight="false" outlineLevel="0" collapsed="false">
      <c r="A155" s="10" t="s">
        <v>663</v>
      </c>
      <c r="B155" s="10" t="s">
        <v>24</v>
      </c>
      <c r="C155" s="10" t="s">
        <v>51</v>
      </c>
      <c r="D155" s="10" t="s">
        <v>57</v>
      </c>
      <c r="E155" s="10" t="s">
        <v>664</v>
      </c>
      <c r="F155" s="10" t="s">
        <v>665</v>
      </c>
      <c r="G155" s="10" t="s">
        <v>666</v>
      </c>
      <c r="H155" s="11"/>
      <c r="I155" s="12"/>
      <c r="J155" s="11" t="s">
        <v>5</v>
      </c>
      <c r="K155" s="11"/>
      <c r="L155" s="11"/>
    </row>
    <row r="156" customFormat="false" ht="23.85" hidden="false" customHeight="false" outlineLevel="0" collapsed="false">
      <c r="A156" s="10" t="s">
        <v>667</v>
      </c>
      <c r="B156" s="10" t="s">
        <v>24</v>
      </c>
      <c r="C156" s="10" t="s">
        <v>75</v>
      </c>
      <c r="D156" s="10" t="s">
        <v>57</v>
      </c>
      <c r="E156" s="10" t="s">
        <v>668</v>
      </c>
      <c r="F156" s="10" t="s">
        <v>669</v>
      </c>
      <c r="G156" s="10" t="s">
        <v>670</v>
      </c>
      <c r="H156" s="11"/>
      <c r="I156" s="12"/>
      <c r="J156" s="11" t="s">
        <v>5</v>
      </c>
      <c r="K156" s="11"/>
      <c r="L156" s="11"/>
    </row>
    <row r="157" customFormat="false" ht="23.85" hidden="false" customHeight="false" outlineLevel="0" collapsed="false">
      <c r="A157" s="10" t="s">
        <v>671</v>
      </c>
      <c r="B157" s="10" t="s">
        <v>24</v>
      </c>
      <c r="C157" s="10" t="s">
        <v>75</v>
      </c>
      <c r="D157" s="10" t="s">
        <v>57</v>
      </c>
      <c r="E157" s="10" t="s">
        <v>672</v>
      </c>
      <c r="F157" s="10" t="s">
        <v>673</v>
      </c>
      <c r="G157" s="10" t="s">
        <v>674</v>
      </c>
      <c r="H157" s="11"/>
      <c r="I157" s="12"/>
      <c r="J157" s="11" t="s">
        <v>5</v>
      </c>
      <c r="K157" s="11"/>
      <c r="L157" s="11"/>
    </row>
    <row r="158" customFormat="false" ht="23.85" hidden="false" customHeight="false" outlineLevel="0" collapsed="false">
      <c r="A158" s="10" t="s">
        <v>675</v>
      </c>
      <c r="B158" s="10" t="s">
        <v>24</v>
      </c>
      <c r="C158" s="10" t="s">
        <v>75</v>
      </c>
      <c r="D158" s="10" t="s">
        <v>57</v>
      </c>
      <c r="E158" s="10" t="s">
        <v>676</v>
      </c>
      <c r="F158" s="10" t="s">
        <v>677</v>
      </c>
      <c r="G158" s="10" t="s">
        <v>678</v>
      </c>
      <c r="H158" s="11"/>
      <c r="I158" s="12"/>
      <c r="J158" s="11" t="s">
        <v>5</v>
      </c>
      <c r="K158" s="11"/>
      <c r="L158" s="11"/>
    </row>
    <row r="159" customFormat="false" ht="23.85" hidden="false" customHeight="false" outlineLevel="0" collapsed="false">
      <c r="A159" s="10" t="s">
        <v>679</v>
      </c>
      <c r="B159" s="10" t="s">
        <v>24</v>
      </c>
      <c r="C159" s="10" t="s">
        <v>75</v>
      </c>
      <c r="D159" s="10" t="s">
        <v>57</v>
      </c>
      <c r="E159" s="10" t="s">
        <v>680</v>
      </c>
      <c r="F159" s="10" t="s">
        <v>681</v>
      </c>
      <c r="G159" s="10" t="s">
        <v>682</v>
      </c>
      <c r="H159" s="11"/>
      <c r="I159" s="12"/>
      <c r="J159" s="11" t="s">
        <v>5</v>
      </c>
      <c r="K159" s="11"/>
      <c r="L159" s="11"/>
    </row>
    <row r="160" customFormat="false" ht="23.85" hidden="false" customHeight="false" outlineLevel="0" collapsed="false">
      <c r="A160" s="10" t="s">
        <v>683</v>
      </c>
      <c r="B160" s="10" t="s">
        <v>24</v>
      </c>
      <c r="C160" s="10" t="s">
        <v>75</v>
      </c>
      <c r="D160" s="10" t="s">
        <v>57</v>
      </c>
      <c r="E160" s="10" t="s">
        <v>684</v>
      </c>
      <c r="F160" s="10" t="s">
        <v>685</v>
      </c>
      <c r="G160" s="10" t="s">
        <v>686</v>
      </c>
      <c r="H160" s="11"/>
      <c r="I160" s="12"/>
      <c r="J160" s="11" t="s">
        <v>5</v>
      </c>
      <c r="K160" s="11"/>
      <c r="L160" s="11"/>
    </row>
    <row r="161" customFormat="false" ht="23.85" hidden="false" customHeight="false" outlineLevel="0" collapsed="false">
      <c r="A161" s="10" t="s">
        <v>687</v>
      </c>
      <c r="B161" s="10" t="s">
        <v>24</v>
      </c>
      <c r="C161" s="10" t="s">
        <v>105</v>
      </c>
      <c r="D161" s="10" t="s">
        <v>57</v>
      </c>
      <c r="E161" s="10" t="s">
        <v>619</v>
      </c>
      <c r="F161" s="10" t="s">
        <v>688</v>
      </c>
      <c r="G161" s="10" t="s">
        <v>689</v>
      </c>
      <c r="H161" s="11"/>
      <c r="I161" s="12"/>
      <c r="J161" s="11" t="s">
        <v>5</v>
      </c>
      <c r="K161" s="11"/>
      <c r="L161" s="11"/>
    </row>
    <row r="162" customFormat="false" ht="23.85" hidden="false" customHeight="false" outlineLevel="0" collapsed="false">
      <c r="A162" s="10" t="s">
        <v>690</v>
      </c>
      <c r="B162" s="10" t="s">
        <v>24</v>
      </c>
      <c r="C162" s="10" t="s">
        <v>75</v>
      </c>
      <c r="D162" s="10" t="s">
        <v>57</v>
      </c>
      <c r="E162" s="10" t="s">
        <v>691</v>
      </c>
      <c r="F162" s="10" t="s">
        <v>692</v>
      </c>
      <c r="G162" s="10" t="s">
        <v>693</v>
      </c>
      <c r="H162" s="11"/>
      <c r="I162" s="12"/>
      <c r="J162" s="11" t="s">
        <v>5</v>
      </c>
      <c r="K162" s="11"/>
      <c r="L162" s="11"/>
    </row>
    <row r="163" customFormat="false" ht="15" hidden="false" customHeight="false" outlineLevel="0" collapsed="false">
      <c r="A163" s="10" t="s">
        <v>694</v>
      </c>
      <c r="B163" s="10" t="s">
        <v>25</v>
      </c>
      <c r="C163" s="10" t="s">
        <v>75</v>
      </c>
      <c r="D163" s="10" t="s">
        <v>57</v>
      </c>
      <c r="E163" s="10" t="s">
        <v>695</v>
      </c>
      <c r="F163" s="10" t="s">
        <v>696</v>
      </c>
      <c r="G163" s="10" t="s">
        <v>697</v>
      </c>
      <c r="H163" s="11"/>
      <c r="I163" s="12"/>
      <c r="J163" s="11" t="s">
        <v>5</v>
      </c>
      <c r="K163" s="11"/>
      <c r="L163" s="11"/>
    </row>
    <row r="164" customFormat="false" ht="23.85" hidden="false" customHeight="false" outlineLevel="0" collapsed="false">
      <c r="A164" s="10" t="s">
        <v>698</v>
      </c>
      <c r="B164" s="10" t="s">
        <v>25</v>
      </c>
      <c r="C164" s="10" t="s">
        <v>75</v>
      </c>
      <c r="D164" s="10" t="s">
        <v>57</v>
      </c>
      <c r="E164" s="10" t="s">
        <v>699</v>
      </c>
      <c r="F164" s="10" t="s">
        <v>700</v>
      </c>
      <c r="G164" s="10" t="s">
        <v>701</v>
      </c>
      <c r="H164" s="11"/>
      <c r="I164" s="12"/>
      <c r="J164" s="11" t="s">
        <v>5</v>
      </c>
      <c r="K164" s="11"/>
      <c r="L164" s="11"/>
    </row>
    <row r="165" customFormat="false" ht="15" hidden="false" customHeight="false" outlineLevel="0" collapsed="false">
      <c r="A165" s="10" t="s">
        <v>702</v>
      </c>
      <c r="B165" s="10" t="s">
        <v>25</v>
      </c>
      <c r="C165" s="10" t="s">
        <v>51</v>
      </c>
      <c r="D165" s="10" t="s">
        <v>57</v>
      </c>
      <c r="E165" s="10" t="s">
        <v>703</v>
      </c>
      <c r="F165" s="10" t="s">
        <v>704</v>
      </c>
      <c r="G165" s="10" t="s">
        <v>705</v>
      </c>
      <c r="H165" s="11"/>
      <c r="I165" s="12"/>
      <c r="J165" s="11" t="s">
        <v>5</v>
      </c>
      <c r="K165" s="11"/>
      <c r="L165" s="11"/>
    </row>
    <row r="166" customFormat="false" ht="23.85" hidden="false" customHeight="false" outlineLevel="0" collapsed="false">
      <c r="A166" s="10" t="s">
        <v>706</v>
      </c>
      <c r="B166" s="10" t="s">
        <v>25</v>
      </c>
      <c r="C166" s="10" t="s">
        <v>75</v>
      </c>
      <c r="D166" s="10" t="s">
        <v>57</v>
      </c>
      <c r="E166" s="10" t="s">
        <v>707</v>
      </c>
      <c r="F166" s="10" t="s">
        <v>708</v>
      </c>
      <c r="G166" s="10" t="s">
        <v>709</v>
      </c>
      <c r="H166" s="11"/>
      <c r="I166" s="12"/>
      <c r="J166" s="11" t="s">
        <v>5</v>
      </c>
      <c r="K166" s="11"/>
      <c r="L166" s="11"/>
    </row>
    <row r="167" customFormat="false" ht="15" hidden="false" customHeight="false" outlineLevel="0" collapsed="false">
      <c r="A167" s="10" t="s">
        <v>710</v>
      </c>
      <c r="B167" s="10" t="s">
        <v>25</v>
      </c>
      <c r="C167" s="10" t="s">
        <v>75</v>
      </c>
      <c r="D167" s="10" t="s">
        <v>57</v>
      </c>
      <c r="E167" s="10" t="s">
        <v>711</v>
      </c>
      <c r="F167" s="10" t="s">
        <v>712</v>
      </c>
      <c r="G167" s="10" t="s">
        <v>713</v>
      </c>
      <c r="H167" s="11"/>
      <c r="I167" s="12"/>
      <c r="J167" s="11" t="s">
        <v>5</v>
      </c>
      <c r="K167" s="11"/>
      <c r="L167" s="11"/>
    </row>
    <row r="168" customFormat="false" ht="23.85" hidden="false" customHeight="false" outlineLevel="0" collapsed="false">
      <c r="A168" s="10" t="s">
        <v>714</v>
      </c>
      <c r="B168" s="10" t="s">
        <v>25</v>
      </c>
      <c r="C168" s="10" t="s">
        <v>75</v>
      </c>
      <c r="D168" s="10" t="s">
        <v>57</v>
      </c>
      <c r="E168" s="10" t="s">
        <v>715</v>
      </c>
      <c r="F168" s="10" t="s">
        <v>716</v>
      </c>
      <c r="G168" s="10" t="s">
        <v>717</v>
      </c>
      <c r="H168" s="11"/>
      <c r="I168" s="12"/>
      <c r="J168" s="11" t="s">
        <v>5</v>
      </c>
      <c r="K168" s="11"/>
      <c r="L168" s="11"/>
    </row>
    <row r="169" customFormat="false" ht="23.85" hidden="false" customHeight="false" outlineLevel="0" collapsed="false">
      <c r="A169" s="10" t="s">
        <v>718</v>
      </c>
      <c r="B169" s="10" t="s">
        <v>25</v>
      </c>
      <c r="C169" s="10" t="s">
        <v>51</v>
      </c>
      <c r="D169" s="10" t="s">
        <v>57</v>
      </c>
      <c r="E169" s="10" t="s">
        <v>719</v>
      </c>
      <c r="F169" s="10" t="s">
        <v>720</v>
      </c>
      <c r="G169" s="10" t="s">
        <v>721</v>
      </c>
      <c r="H169" s="11"/>
      <c r="I169" s="12"/>
      <c r="J169" s="11" t="s">
        <v>5</v>
      </c>
      <c r="K169" s="11"/>
      <c r="L169" s="11"/>
    </row>
    <row r="170" customFormat="false" ht="15" hidden="false" customHeight="false" outlineLevel="0" collapsed="false">
      <c r="A170" s="10" t="s">
        <v>722</v>
      </c>
      <c r="B170" s="10" t="s">
        <v>25</v>
      </c>
      <c r="C170" s="10" t="s">
        <v>51</v>
      </c>
      <c r="D170" s="10" t="s">
        <v>57</v>
      </c>
      <c r="E170" s="10" t="s">
        <v>723</v>
      </c>
      <c r="F170" s="10" t="s">
        <v>724</v>
      </c>
      <c r="G170" s="10" t="s">
        <v>725</v>
      </c>
      <c r="H170" s="11"/>
      <c r="I170" s="12"/>
      <c r="J170" s="11" t="s">
        <v>5</v>
      </c>
      <c r="K170" s="11"/>
      <c r="L170" s="11"/>
    </row>
    <row r="171" customFormat="false" ht="15" hidden="false" customHeight="false" outlineLevel="0" collapsed="false">
      <c r="A171" s="10" t="s">
        <v>726</v>
      </c>
      <c r="B171" s="10" t="s">
        <v>25</v>
      </c>
      <c r="C171" s="10" t="s">
        <v>105</v>
      </c>
      <c r="D171" s="10" t="s">
        <v>57</v>
      </c>
      <c r="E171" s="10" t="s">
        <v>727</v>
      </c>
      <c r="F171" s="10" t="s">
        <v>728</v>
      </c>
      <c r="G171" s="10" t="s">
        <v>729</v>
      </c>
      <c r="H171" s="11"/>
      <c r="I171" s="12"/>
      <c r="J171" s="11" t="s">
        <v>5</v>
      </c>
      <c r="K171" s="11"/>
      <c r="L171" s="11"/>
    </row>
    <row r="172" customFormat="false" ht="23.85" hidden="false" customHeight="false" outlineLevel="0" collapsed="false">
      <c r="A172" s="10" t="s">
        <v>730</v>
      </c>
      <c r="B172" s="10" t="s">
        <v>26</v>
      </c>
      <c r="C172" s="10" t="s">
        <v>51</v>
      </c>
      <c r="D172" s="10" t="s">
        <v>57</v>
      </c>
      <c r="E172" s="10" t="s">
        <v>731</v>
      </c>
      <c r="F172" s="10" t="s">
        <v>732</v>
      </c>
      <c r="G172" s="10" t="s">
        <v>733</v>
      </c>
      <c r="H172" s="11"/>
      <c r="I172" s="12"/>
      <c r="J172" s="11" t="s">
        <v>5</v>
      </c>
      <c r="K172" s="11"/>
      <c r="L172" s="11"/>
    </row>
    <row r="173" customFormat="false" ht="23.85" hidden="false" customHeight="false" outlineLevel="0" collapsed="false">
      <c r="A173" s="10" t="s">
        <v>734</v>
      </c>
      <c r="B173" s="10" t="s">
        <v>26</v>
      </c>
      <c r="C173" s="10" t="s">
        <v>51</v>
      </c>
      <c r="D173" s="10" t="s">
        <v>57</v>
      </c>
      <c r="E173" s="10" t="s">
        <v>735</v>
      </c>
      <c r="F173" s="10" t="s">
        <v>736</v>
      </c>
      <c r="G173" s="10" t="s">
        <v>737</v>
      </c>
      <c r="H173" s="11"/>
      <c r="I173" s="12"/>
      <c r="J173" s="11" t="s">
        <v>5</v>
      </c>
      <c r="K173" s="11"/>
      <c r="L173" s="11"/>
    </row>
    <row r="174" customFormat="false" ht="15" hidden="false" customHeight="false" outlineLevel="0" collapsed="false">
      <c r="A174" s="10" t="s">
        <v>738</v>
      </c>
      <c r="B174" s="10" t="s">
        <v>26</v>
      </c>
      <c r="C174" s="10" t="s">
        <v>51</v>
      </c>
      <c r="D174" s="10" t="s">
        <v>57</v>
      </c>
      <c r="E174" s="10" t="s">
        <v>739</v>
      </c>
      <c r="F174" s="10" t="s">
        <v>740</v>
      </c>
      <c r="G174" s="10" t="s">
        <v>741</v>
      </c>
      <c r="H174" s="11"/>
      <c r="I174" s="12"/>
      <c r="J174" s="11" t="s">
        <v>5</v>
      </c>
      <c r="K174" s="11"/>
      <c r="L174" s="11"/>
    </row>
    <row r="175" customFormat="false" ht="23.85" hidden="false" customHeight="false" outlineLevel="0" collapsed="false">
      <c r="A175" s="10" t="s">
        <v>742</v>
      </c>
      <c r="B175" s="10" t="s">
        <v>26</v>
      </c>
      <c r="C175" s="10" t="s">
        <v>51</v>
      </c>
      <c r="D175" s="10" t="s">
        <v>57</v>
      </c>
      <c r="E175" s="10" t="s">
        <v>743</v>
      </c>
      <c r="F175" s="10" t="s">
        <v>744</v>
      </c>
      <c r="G175" s="10" t="s">
        <v>745</v>
      </c>
      <c r="H175" s="11"/>
      <c r="I175" s="12"/>
      <c r="J175" s="11" t="s">
        <v>5</v>
      </c>
      <c r="K175" s="11"/>
      <c r="L175" s="11"/>
    </row>
    <row r="176" customFormat="false" ht="23.85" hidden="false" customHeight="false" outlineLevel="0" collapsed="false">
      <c r="A176" s="10" t="s">
        <v>746</v>
      </c>
      <c r="B176" s="10" t="s">
        <v>26</v>
      </c>
      <c r="C176" s="10" t="s">
        <v>51</v>
      </c>
      <c r="D176" s="10" t="s">
        <v>57</v>
      </c>
      <c r="E176" s="10" t="s">
        <v>747</v>
      </c>
      <c r="F176" s="10" t="s">
        <v>748</v>
      </c>
      <c r="G176" s="10" t="s">
        <v>749</v>
      </c>
      <c r="H176" s="11"/>
      <c r="I176" s="12"/>
      <c r="J176" s="11" t="s">
        <v>5</v>
      </c>
      <c r="K176" s="11"/>
      <c r="L176" s="11"/>
    </row>
    <row r="177" customFormat="false" ht="23.85" hidden="false" customHeight="false" outlineLevel="0" collapsed="false">
      <c r="A177" s="10" t="s">
        <v>750</v>
      </c>
      <c r="B177" s="10" t="s">
        <v>26</v>
      </c>
      <c r="C177" s="10" t="s">
        <v>51</v>
      </c>
      <c r="D177" s="10" t="s">
        <v>57</v>
      </c>
      <c r="E177" s="10" t="s">
        <v>751</v>
      </c>
      <c r="F177" s="10" t="s">
        <v>752</v>
      </c>
      <c r="G177" s="10" t="s">
        <v>594</v>
      </c>
      <c r="H177" s="11"/>
      <c r="I177" s="12"/>
      <c r="J177" s="11" t="s">
        <v>5</v>
      </c>
      <c r="K177" s="11"/>
      <c r="L177" s="11"/>
    </row>
    <row r="178" customFormat="false" ht="15" hidden="false" customHeight="false" outlineLevel="0" collapsed="false">
      <c r="A178" s="10" t="s">
        <v>753</v>
      </c>
      <c r="B178" s="10" t="s">
        <v>26</v>
      </c>
      <c r="C178" s="10" t="s">
        <v>51</v>
      </c>
      <c r="D178" s="10" t="s">
        <v>57</v>
      </c>
      <c r="E178" s="10" t="s">
        <v>754</v>
      </c>
      <c r="F178" s="10" t="s">
        <v>755</v>
      </c>
      <c r="G178" s="10" t="s">
        <v>756</v>
      </c>
      <c r="H178" s="11"/>
      <c r="I178" s="12"/>
      <c r="J178" s="11" t="s">
        <v>5</v>
      </c>
      <c r="K178" s="11"/>
      <c r="L178" s="11"/>
    </row>
    <row r="179" customFormat="false" ht="15" hidden="false" customHeight="false" outlineLevel="0" collapsed="false">
      <c r="A179" s="10" t="s">
        <v>757</v>
      </c>
      <c r="B179" s="10" t="s">
        <v>26</v>
      </c>
      <c r="C179" s="10" t="s">
        <v>51</v>
      </c>
      <c r="D179" s="10" t="s">
        <v>57</v>
      </c>
      <c r="E179" s="10" t="s">
        <v>758</v>
      </c>
      <c r="F179" s="10" t="s">
        <v>759</v>
      </c>
      <c r="G179" s="10" t="s">
        <v>760</v>
      </c>
      <c r="H179" s="11"/>
      <c r="I179" s="12"/>
      <c r="J179" s="11" t="s">
        <v>5</v>
      </c>
      <c r="K179" s="11"/>
      <c r="L179" s="11"/>
    </row>
    <row r="180" customFormat="false" ht="23.85" hidden="false" customHeight="false" outlineLevel="0" collapsed="false">
      <c r="A180" s="10" t="s">
        <v>761</v>
      </c>
      <c r="B180" s="10" t="s">
        <v>26</v>
      </c>
      <c r="C180" s="10" t="s">
        <v>51</v>
      </c>
      <c r="D180" s="10" t="s">
        <v>57</v>
      </c>
      <c r="E180" s="10" t="s">
        <v>762</v>
      </c>
      <c r="F180" s="10" t="s">
        <v>763</v>
      </c>
      <c r="G180" s="10" t="s">
        <v>764</v>
      </c>
      <c r="H180" s="11"/>
      <c r="I180" s="12"/>
      <c r="J180" s="11" t="s">
        <v>5</v>
      </c>
      <c r="K180" s="11"/>
      <c r="L180" s="11"/>
    </row>
    <row r="181" customFormat="false" ht="23.85" hidden="false" customHeight="false" outlineLevel="0" collapsed="false">
      <c r="A181" s="10" t="s">
        <v>765</v>
      </c>
      <c r="B181" s="10" t="s">
        <v>26</v>
      </c>
      <c r="C181" s="10" t="s">
        <v>51</v>
      </c>
      <c r="D181" s="10" t="s">
        <v>57</v>
      </c>
      <c r="E181" s="10" t="s">
        <v>766</v>
      </c>
      <c r="F181" s="10" t="s">
        <v>767</v>
      </c>
      <c r="G181" s="10" t="s">
        <v>768</v>
      </c>
      <c r="H181" s="11"/>
      <c r="I181" s="12"/>
      <c r="J181" s="11" t="s">
        <v>5</v>
      </c>
      <c r="K181" s="11"/>
      <c r="L181" s="11"/>
    </row>
    <row r="182" customFormat="false" ht="23.85" hidden="false" customHeight="false" outlineLevel="0" collapsed="false">
      <c r="A182" s="10" t="s">
        <v>769</v>
      </c>
      <c r="B182" s="10" t="s">
        <v>26</v>
      </c>
      <c r="C182" s="10" t="s">
        <v>51</v>
      </c>
      <c r="D182" s="10" t="s">
        <v>57</v>
      </c>
      <c r="E182" s="10" t="s">
        <v>770</v>
      </c>
      <c r="F182" s="10" t="s">
        <v>771</v>
      </c>
      <c r="G182" s="10" t="s">
        <v>772</v>
      </c>
      <c r="H182" s="11"/>
      <c r="I182" s="12"/>
      <c r="J182" s="11" t="s">
        <v>5</v>
      </c>
      <c r="K182" s="11"/>
      <c r="L182" s="11"/>
    </row>
    <row r="183" customFormat="false" ht="23.85" hidden="false" customHeight="false" outlineLevel="0" collapsed="false">
      <c r="A183" s="10" t="s">
        <v>773</v>
      </c>
      <c r="B183" s="10" t="s">
        <v>26</v>
      </c>
      <c r="C183" s="10" t="s">
        <v>51</v>
      </c>
      <c r="D183" s="10" t="s">
        <v>57</v>
      </c>
      <c r="E183" s="10" t="s">
        <v>774</v>
      </c>
      <c r="F183" s="10" t="s">
        <v>775</v>
      </c>
      <c r="G183" s="10" t="s">
        <v>776</v>
      </c>
      <c r="H183" s="11"/>
      <c r="I183" s="12"/>
      <c r="J183" s="11" t="s">
        <v>5</v>
      </c>
      <c r="K183" s="11"/>
      <c r="L183" s="11"/>
    </row>
    <row r="184" customFormat="false" ht="23.85" hidden="false" customHeight="false" outlineLevel="0" collapsed="false">
      <c r="A184" s="10" t="s">
        <v>777</v>
      </c>
      <c r="B184" s="10" t="s">
        <v>26</v>
      </c>
      <c r="C184" s="10" t="s">
        <v>51</v>
      </c>
      <c r="D184" s="10" t="s">
        <v>57</v>
      </c>
      <c r="E184" s="10" t="s">
        <v>778</v>
      </c>
      <c r="F184" s="10" t="s">
        <v>779</v>
      </c>
      <c r="G184" s="10" t="s">
        <v>780</v>
      </c>
      <c r="H184" s="11"/>
      <c r="I184" s="12"/>
      <c r="J184" s="11" t="s">
        <v>5</v>
      </c>
      <c r="K184" s="11"/>
      <c r="L184" s="11"/>
    </row>
    <row r="185" customFormat="false" ht="23.85" hidden="false" customHeight="false" outlineLevel="0" collapsed="false">
      <c r="A185" s="10" t="s">
        <v>781</v>
      </c>
      <c r="B185" s="10" t="s">
        <v>26</v>
      </c>
      <c r="C185" s="10" t="s">
        <v>75</v>
      </c>
      <c r="D185" s="10" t="s">
        <v>57</v>
      </c>
      <c r="E185" s="10" t="s">
        <v>782</v>
      </c>
      <c r="F185" s="10" t="s">
        <v>783</v>
      </c>
      <c r="G185" s="10" t="s">
        <v>784</v>
      </c>
      <c r="H185" s="11"/>
      <c r="I185" s="12"/>
      <c r="J185" s="11" t="s">
        <v>5</v>
      </c>
      <c r="K185" s="11"/>
      <c r="L185" s="11"/>
    </row>
    <row r="186" customFormat="false" ht="15" hidden="false" customHeight="false" outlineLevel="0" collapsed="false">
      <c r="A186" s="10" t="s">
        <v>785</v>
      </c>
      <c r="B186" s="10" t="s">
        <v>26</v>
      </c>
      <c r="C186" s="10" t="s">
        <v>75</v>
      </c>
      <c r="D186" s="10" t="s">
        <v>57</v>
      </c>
      <c r="E186" s="10" t="s">
        <v>786</v>
      </c>
      <c r="F186" s="10" t="s">
        <v>787</v>
      </c>
      <c r="G186" s="10" t="s">
        <v>788</v>
      </c>
      <c r="H186" s="11"/>
      <c r="I186" s="12"/>
      <c r="J186" s="11" t="s">
        <v>5</v>
      </c>
      <c r="K186" s="11"/>
      <c r="L186" s="11"/>
    </row>
    <row r="187" customFormat="false" ht="23.85" hidden="false" customHeight="false" outlineLevel="0" collapsed="false">
      <c r="A187" s="10" t="s">
        <v>789</v>
      </c>
      <c r="B187" s="10" t="s">
        <v>26</v>
      </c>
      <c r="C187" s="10" t="s">
        <v>51</v>
      </c>
      <c r="D187" s="10" t="s">
        <v>57</v>
      </c>
      <c r="E187" s="10" t="s">
        <v>790</v>
      </c>
      <c r="F187" s="10" t="s">
        <v>791</v>
      </c>
      <c r="G187" s="10" t="s">
        <v>792</v>
      </c>
      <c r="H187" s="11"/>
      <c r="I187" s="12"/>
      <c r="J187" s="11" t="s">
        <v>5</v>
      </c>
      <c r="K187" s="11"/>
      <c r="L187" s="11"/>
    </row>
    <row r="188" customFormat="false" ht="23.85" hidden="false" customHeight="false" outlineLevel="0" collapsed="false">
      <c r="A188" s="10" t="s">
        <v>793</v>
      </c>
      <c r="B188" s="10" t="s">
        <v>26</v>
      </c>
      <c r="C188" s="10" t="s">
        <v>75</v>
      </c>
      <c r="D188" s="10" t="s">
        <v>57</v>
      </c>
      <c r="E188" s="10" t="s">
        <v>794</v>
      </c>
      <c r="F188" s="10" t="s">
        <v>795</v>
      </c>
      <c r="G188" s="10" t="s">
        <v>796</v>
      </c>
      <c r="H188" s="11"/>
      <c r="I188" s="12"/>
      <c r="J188" s="11" t="s">
        <v>5</v>
      </c>
      <c r="K188" s="11"/>
      <c r="L188" s="11"/>
    </row>
    <row r="189" customFormat="false" ht="23.85" hidden="false" customHeight="false" outlineLevel="0" collapsed="false">
      <c r="A189" s="10" t="s">
        <v>797</v>
      </c>
      <c r="B189" s="10" t="s">
        <v>27</v>
      </c>
      <c r="C189" s="10" t="s">
        <v>51</v>
      </c>
      <c r="D189" s="10" t="s">
        <v>57</v>
      </c>
      <c r="E189" s="10" t="s">
        <v>798</v>
      </c>
      <c r="F189" s="10"/>
      <c r="G189" s="10" t="s">
        <v>799</v>
      </c>
      <c r="H189" s="11"/>
      <c r="I189" s="12"/>
      <c r="J189" s="11" t="s">
        <v>5</v>
      </c>
      <c r="K189" s="11"/>
      <c r="L189" s="11"/>
    </row>
    <row r="190" customFormat="false" ht="23.85" hidden="false" customHeight="false" outlineLevel="0" collapsed="false">
      <c r="A190" s="10" t="s">
        <v>800</v>
      </c>
      <c r="B190" s="10" t="s">
        <v>27</v>
      </c>
      <c r="C190" s="10" t="s">
        <v>51</v>
      </c>
      <c r="D190" s="10" t="s">
        <v>57</v>
      </c>
      <c r="E190" s="10" t="s">
        <v>801</v>
      </c>
      <c r="F190" s="10"/>
      <c r="G190" s="10" t="s">
        <v>802</v>
      </c>
      <c r="H190" s="11"/>
      <c r="I190" s="12"/>
      <c r="J190" s="11" t="s">
        <v>5</v>
      </c>
      <c r="K190" s="11"/>
      <c r="L190" s="11"/>
    </row>
    <row r="191" customFormat="false" ht="23.85" hidden="false" customHeight="false" outlineLevel="0" collapsed="false">
      <c r="A191" s="10" t="s">
        <v>803</v>
      </c>
      <c r="B191" s="10" t="s">
        <v>27</v>
      </c>
      <c r="C191" s="10" t="s">
        <v>51</v>
      </c>
      <c r="D191" s="10" t="s">
        <v>57</v>
      </c>
      <c r="E191" s="10" t="s">
        <v>804</v>
      </c>
      <c r="F191" s="10"/>
      <c r="G191" s="10" t="s">
        <v>805</v>
      </c>
      <c r="H191" s="11"/>
      <c r="I191" s="12"/>
      <c r="J191" s="11" t="s">
        <v>5</v>
      </c>
      <c r="K191" s="11"/>
      <c r="L191" s="11"/>
    </row>
    <row r="192" customFormat="false" ht="23.85" hidden="false" customHeight="false" outlineLevel="0" collapsed="false">
      <c r="A192" s="10" t="s">
        <v>806</v>
      </c>
      <c r="B192" s="10" t="s">
        <v>27</v>
      </c>
      <c r="C192" s="10" t="s">
        <v>75</v>
      </c>
      <c r="D192" s="10" t="s">
        <v>57</v>
      </c>
      <c r="E192" s="10" t="s">
        <v>807</v>
      </c>
      <c r="F192" s="10"/>
      <c r="G192" s="10" t="s">
        <v>808</v>
      </c>
      <c r="H192" s="11"/>
      <c r="I192" s="12"/>
      <c r="J192" s="11" t="s">
        <v>5</v>
      </c>
      <c r="K192" s="11"/>
      <c r="L192" s="11"/>
    </row>
    <row r="193" customFormat="false" ht="23.85" hidden="false" customHeight="false" outlineLevel="0" collapsed="false">
      <c r="A193" s="10" t="s">
        <v>809</v>
      </c>
      <c r="B193" s="10" t="s">
        <v>27</v>
      </c>
      <c r="C193" s="10" t="s">
        <v>75</v>
      </c>
      <c r="D193" s="10" t="s">
        <v>57</v>
      </c>
      <c r="E193" s="10" t="s">
        <v>810</v>
      </c>
      <c r="F193" s="10"/>
      <c r="G193" s="10" t="s">
        <v>811</v>
      </c>
      <c r="H193" s="11"/>
      <c r="I193" s="12"/>
      <c r="J193" s="11" t="s">
        <v>5</v>
      </c>
      <c r="K193" s="11"/>
      <c r="L193" s="11"/>
    </row>
    <row r="194" customFormat="false" ht="23.85" hidden="false" customHeight="false" outlineLevel="0" collapsed="false">
      <c r="A194" s="10" t="s">
        <v>812</v>
      </c>
      <c r="B194" s="10" t="s">
        <v>27</v>
      </c>
      <c r="C194" s="10" t="s">
        <v>75</v>
      </c>
      <c r="D194" s="10" t="s">
        <v>57</v>
      </c>
      <c r="E194" s="10" t="s">
        <v>813</v>
      </c>
      <c r="F194" s="10"/>
      <c r="G194" s="10" t="s">
        <v>814</v>
      </c>
      <c r="H194" s="11"/>
      <c r="I194" s="12"/>
      <c r="J194" s="11" t="s">
        <v>5</v>
      </c>
      <c r="K194" s="11"/>
      <c r="L194" s="11"/>
    </row>
    <row r="195" customFormat="false" ht="23.85" hidden="false" customHeight="false" outlineLevel="0" collapsed="false">
      <c r="A195" s="10" t="s">
        <v>815</v>
      </c>
      <c r="B195" s="10" t="s">
        <v>27</v>
      </c>
      <c r="C195" s="10" t="s">
        <v>75</v>
      </c>
      <c r="D195" s="10" t="s">
        <v>57</v>
      </c>
      <c r="E195" s="10" t="s">
        <v>816</v>
      </c>
      <c r="F195" s="10"/>
      <c r="G195" s="10" t="s">
        <v>817</v>
      </c>
      <c r="H195" s="11"/>
      <c r="I195" s="12"/>
      <c r="J195" s="11" t="s">
        <v>5</v>
      </c>
      <c r="K195" s="11"/>
      <c r="L195" s="11"/>
    </row>
    <row r="196" customFormat="false" ht="23.85" hidden="false" customHeight="false" outlineLevel="0" collapsed="false">
      <c r="A196" s="10" t="s">
        <v>818</v>
      </c>
      <c r="B196" s="10" t="s">
        <v>27</v>
      </c>
      <c r="C196" s="10" t="s">
        <v>75</v>
      </c>
      <c r="D196" s="10" t="s">
        <v>57</v>
      </c>
      <c r="E196" s="10" t="s">
        <v>819</v>
      </c>
      <c r="F196" s="10"/>
      <c r="G196" s="10" t="s">
        <v>820</v>
      </c>
      <c r="H196" s="11"/>
      <c r="I196" s="12"/>
      <c r="J196" s="11" t="s">
        <v>5</v>
      </c>
      <c r="K196" s="11"/>
      <c r="L196" s="11"/>
    </row>
    <row r="197" customFormat="false" ht="23.85" hidden="false" customHeight="false" outlineLevel="0" collapsed="false">
      <c r="A197" s="10" t="s">
        <v>821</v>
      </c>
      <c r="B197" s="10" t="s">
        <v>27</v>
      </c>
      <c r="C197" s="10" t="s">
        <v>105</v>
      </c>
      <c r="D197" s="10" t="s">
        <v>57</v>
      </c>
      <c r="E197" s="10" t="s">
        <v>822</v>
      </c>
      <c r="F197" s="10"/>
      <c r="G197" s="10" t="s">
        <v>823</v>
      </c>
      <c r="H197" s="11"/>
      <c r="I197" s="12"/>
      <c r="J197" s="11" t="s">
        <v>5</v>
      </c>
      <c r="K197" s="11"/>
      <c r="L197" s="11"/>
    </row>
    <row r="198" customFormat="false" ht="23.85" hidden="false" customHeight="false" outlineLevel="0" collapsed="false">
      <c r="A198" s="10" t="s">
        <v>824</v>
      </c>
      <c r="B198" s="10" t="s">
        <v>27</v>
      </c>
      <c r="C198" s="10" t="s">
        <v>105</v>
      </c>
      <c r="D198" s="10" t="s">
        <v>57</v>
      </c>
      <c r="E198" s="10" t="s">
        <v>825</v>
      </c>
      <c r="F198" s="10"/>
      <c r="G198" s="10" t="s">
        <v>826</v>
      </c>
      <c r="H198" s="11"/>
      <c r="I198" s="12"/>
      <c r="J198" s="11" t="s">
        <v>5</v>
      </c>
      <c r="K198" s="11"/>
      <c r="L198" s="11"/>
    </row>
    <row r="199" customFormat="false" ht="23.85" hidden="false" customHeight="false" outlineLevel="0" collapsed="false">
      <c r="A199" s="10" t="s">
        <v>827</v>
      </c>
      <c r="B199" s="10" t="s">
        <v>28</v>
      </c>
      <c r="C199" s="10" t="s">
        <v>75</v>
      </c>
      <c r="D199" s="10" t="s">
        <v>57</v>
      </c>
      <c r="E199" s="10" t="s">
        <v>828</v>
      </c>
      <c r="F199" s="10"/>
      <c r="G199" s="10" t="s">
        <v>829</v>
      </c>
      <c r="H199" s="11"/>
      <c r="I199" s="12"/>
      <c r="J199" s="11" t="s">
        <v>5</v>
      </c>
      <c r="K199" s="11"/>
      <c r="L199" s="11"/>
    </row>
    <row r="200" customFormat="false" ht="23.85" hidden="false" customHeight="false" outlineLevel="0" collapsed="false">
      <c r="A200" s="10" t="s">
        <v>830</v>
      </c>
      <c r="B200" s="10" t="s">
        <v>28</v>
      </c>
      <c r="C200" s="10" t="s">
        <v>75</v>
      </c>
      <c r="D200" s="10" t="s">
        <v>57</v>
      </c>
      <c r="E200" s="10" t="s">
        <v>831</v>
      </c>
      <c r="F200" s="10"/>
      <c r="G200" s="10" t="s">
        <v>832</v>
      </c>
      <c r="H200" s="11"/>
      <c r="I200" s="12"/>
      <c r="J200" s="11" t="s">
        <v>5</v>
      </c>
      <c r="K200" s="11"/>
      <c r="L200" s="11"/>
    </row>
    <row r="201" customFormat="false" ht="23.85" hidden="false" customHeight="false" outlineLevel="0" collapsed="false">
      <c r="A201" s="10" t="s">
        <v>833</v>
      </c>
      <c r="B201" s="10" t="s">
        <v>28</v>
      </c>
      <c r="C201" s="10" t="s">
        <v>75</v>
      </c>
      <c r="D201" s="10" t="s">
        <v>57</v>
      </c>
      <c r="E201" s="10" t="s">
        <v>834</v>
      </c>
      <c r="F201" s="10"/>
      <c r="G201" s="10" t="s">
        <v>835</v>
      </c>
      <c r="H201" s="11"/>
      <c r="I201" s="12"/>
      <c r="J201" s="11" t="s">
        <v>5</v>
      </c>
      <c r="K201" s="11"/>
      <c r="L201" s="11"/>
    </row>
    <row r="202" customFormat="false" ht="23.85" hidden="false" customHeight="false" outlineLevel="0" collapsed="false">
      <c r="A202" s="10" t="s">
        <v>836</v>
      </c>
      <c r="B202" s="10" t="s">
        <v>28</v>
      </c>
      <c r="C202" s="10" t="s">
        <v>75</v>
      </c>
      <c r="D202" s="10" t="s">
        <v>57</v>
      </c>
      <c r="E202" s="10" t="s">
        <v>837</v>
      </c>
      <c r="F202" s="10"/>
      <c r="G202" s="10" t="s">
        <v>838</v>
      </c>
      <c r="H202" s="11"/>
      <c r="I202" s="12"/>
      <c r="J202" s="11" t="s">
        <v>5</v>
      </c>
      <c r="K202" s="11"/>
      <c r="L202" s="11"/>
    </row>
    <row r="203" customFormat="false" ht="23.85" hidden="false" customHeight="false" outlineLevel="0" collapsed="false">
      <c r="A203" s="10" t="s">
        <v>839</v>
      </c>
      <c r="B203" s="10" t="s">
        <v>28</v>
      </c>
      <c r="C203" s="10" t="s">
        <v>105</v>
      </c>
      <c r="D203" s="10" t="s">
        <v>57</v>
      </c>
      <c r="E203" s="10" t="s">
        <v>840</v>
      </c>
      <c r="F203" s="10"/>
      <c r="G203" s="10" t="s">
        <v>841</v>
      </c>
      <c r="H203" s="11"/>
      <c r="I203" s="12"/>
      <c r="J203" s="11" t="s">
        <v>5</v>
      </c>
      <c r="K203" s="11"/>
      <c r="L203" s="11"/>
    </row>
    <row r="204" customFormat="false" ht="23.85" hidden="false" customHeight="false" outlineLevel="0" collapsed="false">
      <c r="A204" s="10" t="s">
        <v>842</v>
      </c>
      <c r="B204" s="10" t="s">
        <v>28</v>
      </c>
      <c r="C204" s="10" t="s">
        <v>75</v>
      </c>
      <c r="D204" s="10" t="s">
        <v>57</v>
      </c>
      <c r="E204" s="10" t="s">
        <v>843</v>
      </c>
      <c r="F204" s="10"/>
      <c r="G204" s="10" t="s">
        <v>844</v>
      </c>
      <c r="H204" s="11"/>
      <c r="I204" s="12"/>
      <c r="J204" s="11" t="s">
        <v>5</v>
      </c>
      <c r="K204" s="11"/>
      <c r="L204" s="11"/>
    </row>
  </sheetData>
  <autoFilter ref="A1:L204"/>
  <conditionalFormatting sqref="J2:J204">
    <cfRule type="cellIs" priority="2" operator="equal" aboveAverage="0" equalAverage="0" bottom="0" percent="0" rank="0" text="" dxfId="4">
      <formula>"OK"</formula>
    </cfRule>
    <cfRule type="cellIs" priority="3" operator="equal" aboveAverage="0" equalAverage="0" bottom="0" percent="0" rank="0" text="" dxfId="5">
      <formula>"KO"</formula>
    </cfRule>
    <cfRule type="cellIs" priority="4" operator="equal" aboveAverage="0" equalAverage="0" bottom="0" percent="0" rank="0" text="" dxfId="6">
      <formula>"Bloqué"</formula>
    </cfRule>
    <cfRule type="cellIs" priority="5" operator="equal" aboveAverage="0" equalAverage="0" bottom="0" percent="0" rank="0" text="" dxfId="7">
      <formula>"N/A"</formula>
    </cfRule>
  </conditionalFormatting>
  <dataValidations count="1">
    <dataValidation allowBlank="false" errorStyle="stop" operator="between" showDropDown="false" showErrorMessage="false" showInputMessage="false" sqref="J2:J204" type="list">
      <formula1>"À faire,OK,KO,N/A,Bloqué"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44"/>
    <col collapsed="false" customWidth="true" hidden="false" outlineLevel="0" max="3" min="3" style="0" width="56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7" min="7" style="0" width="36"/>
  </cols>
  <sheetData>
    <row r="1" customFormat="false" ht="15" hidden="false" customHeight="false" outlineLevel="0" collapsed="false">
      <c r="A1" s="3" t="s">
        <v>845</v>
      </c>
      <c r="B1" s="3" t="s">
        <v>3</v>
      </c>
      <c r="C1" s="3" t="s">
        <v>846</v>
      </c>
      <c r="D1" s="3" t="s">
        <v>45</v>
      </c>
      <c r="E1" s="3" t="s">
        <v>46</v>
      </c>
      <c r="F1" s="3" t="s">
        <v>47</v>
      </c>
      <c r="G1" s="3" t="s">
        <v>49</v>
      </c>
    </row>
    <row r="2" customFormat="false" ht="15" hidden="false" customHeight="false" outlineLevel="0" collapsed="false">
      <c r="A2" s="10" t="s">
        <v>847</v>
      </c>
      <c r="B2" s="10" t="s">
        <v>848</v>
      </c>
      <c r="C2" s="10" t="s">
        <v>849</v>
      </c>
      <c r="D2" s="11"/>
      <c r="E2" s="12"/>
      <c r="F2" s="11" t="s">
        <v>5</v>
      </c>
      <c r="G2" s="11"/>
    </row>
    <row r="3" customFormat="false" ht="15" hidden="false" customHeight="false" outlineLevel="0" collapsed="false">
      <c r="A3" s="10" t="s">
        <v>850</v>
      </c>
      <c r="B3" s="10" t="s">
        <v>851</v>
      </c>
      <c r="C3" s="10" t="s">
        <v>852</v>
      </c>
      <c r="D3" s="11"/>
      <c r="E3" s="12"/>
      <c r="F3" s="11" t="s">
        <v>5</v>
      </c>
      <c r="G3" s="11"/>
    </row>
    <row r="4" customFormat="false" ht="15" hidden="false" customHeight="false" outlineLevel="0" collapsed="false">
      <c r="A4" s="10" t="s">
        <v>853</v>
      </c>
      <c r="B4" s="10" t="s">
        <v>854</v>
      </c>
      <c r="C4" s="10" t="s">
        <v>855</v>
      </c>
      <c r="D4" s="11"/>
      <c r="E4" s="12"/>
      <c r="F4" s="11" t="s">
        <v>5</v>
      </c>
      <c r="G4" s="11"/>
    </row>
    <row r="5" customFormat="false" ht="15" hidden="false" customHeight="false" outlineLevel="0" collapsed="false">
      <c r="A5" s="10" t="s">
        <v>856</v>
      </c>
      <c r="B5" s="10" t="s">
        <v>857</v>
      </c>
      <c r="C5" s="10" t="s">
        <v>858</v>
      </c>
      <c r="D5" s="11"/>
      <c r="E5" s="12"/>
      <c r="F5" s="11" t="s">
        <v>5</v>
      </c>
      <c r="G5" s="11"/>
    </row>
    <row r="6" customFormat="false" ht="15" hidden="false" customHeight="false" outlineLevel="0" collapsed="false">
      <c r="A6" s="10" t="s">
        <v>859</v>
      </c>
      <c r="B6" s="10" t="s">
        <v>860</v>
      </c>
      <c r="C6" s="10" t="s">
        <v>861</v>
      </c>
      <c r="D6" s="11"/>
      <c r="E6" s="12"/>
      <c r="F6" s="11" t="s">
        <v>5</v>
      </c>
      <c r="G6" s="11"/>
    </row>
    <row r="7" customFormat="false" ht="15" hidden="false" customHeight="false" outlineLevel="0" collapsed="false">
      <c r="A7" s="10" t="s">
        <v>862</v>
      </c>
      <c r="B7" s="10" t="s">
        <v>863</v>
      </c>
      <c r="C7" s="10" t="s">
        <v>864</v>
      </c>
      <c r="D7" s="11"/>
      <c r="E7" s="12"/>
      <c r="F7" s="11" t="s">
        <v>5</v>
      </c>
      <c r="G7" s="11"/>
    </row>
    <row r="8" customFormat="false" ht="15" hidden="false" customHeight="false" outlineLevel="0" collapsed="false">
      <c r="A8" s="10" t="s">
        <v>865</v>
      </c>
      <c r="B8" s="10" t="s">
        <v>866</v>
      </c>
      <c r="C8" s="10" t="s">
        <v>867</v>
      </c>
      <c r="D8" s="11"/>
      <c r="E8" s="12"/>
      <c r="F8" s="11" t="s">
        <v>5</v>
      </c>
      <c r="G8" s="11"/>
    </row>
    <row r="9" customFormat="false" ht="15" hidden="false" customHeight="false" outlineLevel="0" collapsed="false">
      <c r="A9" s="10" t="s">
        <v>868</v>
      </c>
      <c r="B9" s="10" t="s">
        <v>869</v>
      </c>
      <c r="C9" s="10" t="s">
        <v>870</v>
      </c>
      <c r="D9" s="11"/>
      <c r="E9" s="12"/>
      <c r="F9" s="11" t="s">
        <v>5</v>
      </c>
      <c r="G9" s="11"/>
    </row>
    <row r="10" customFormat="false" ht="15" hidden="false" customHeight="false" outlineLevel="0" collapsed="false">
      <c r="A10" s="10" t="s">
        <v>871</v>
      </c>
      <c r="B10" s="10" t="s">
        <v>872</v>
      </c>
      <c r="C10" s="10" t="s">
        <v>873</v>
      </c>
      <c r="D10" s="11"/>
      <c r="E10" s="12"/>
      <c r="F10" s="11" t="s">
        <v>5</v>
      </c>
      <c r="G10" s="11"/>
    </row>
    <row r="11" customFormat="false" ht="15" hidden="false" customHeight="false" outlineLevel="0" collapsed="false">
      <c r="A11" s="10" t="s">
        <v>874</v>
      </c>
      <c r="B11" s="10" t="s">
        <v>875</v>
      </c>
      <c r="C11" s="10" t="s">
        <v>876</v>
      </c>
      <c r="D11" s="11"/>
      <c r="E11" s="12"/>
      <c r="F11" s="11" t="s">
        <v>5</v>
      </c>
      <c r="G11" s="11"/>
    </row>
    <row r="12" customFormat="false" ht="15" hidden="false" customHeight="false" outlineLevel="0" collapsed="false">
      <c r="A12" s="10" t="s">
        <v>877</v>
      </c>
      <c r="B12" s="10" t="s">
        <v>878</v>
      </c>
      <c r="C12" s="10" t="s">
        <v>879</v>
      </c>
      <c r="D12" s="11"/>
      <c r="E12" s="12"/>
      <c r="F12" s="11" t="s">
        <v>5</v>
      </c>
      <c r="G12" s="11"/>
    </row>
    <row r="13" customFormat="false" ht="15" hidden="false" customHeight="false" outlineLevel="0" collapsed="false">
      <c r="A13" s="10" t="s">
        <v>880</v>
      </c>
      <c r="B13" s="10" t="s">
        <v>881</v>
      </c>
      <c r="C13" s="10" t="s">
        <v>882</v>
      </c>
      <c r="D13" s="11"/>
      <c r="E13" s="12"/>
      <c r="F13" s="11" t="s">
        <v>5</v>
      </c>
      <c r="G13" s="11"/>
    </row>
    <row r="15" customFormat="false" ht="15" hidden="false" customHeight="false" outlineLevel="0" collapsed="false">
      <c r="B15" s="8" t="s">
        <v>883</v>
      </c>
      <c r="C15" s="8" t="str">
        <f aca="false">COUNTIF(F2:F13,"OK")&amp;"/"&amp;COUNTA(B2:B13)</f>
        <v>0/12</v>
      </c>
    </row>
  </sheetData>
  <dataValidations count="1">
    <dataValidation allowBlank="false" errorStyle="stop" operator="between" showDropDown="false" showErrorMessage="false" showInputMessage="false" sqref="F2:F13" type="list">
      <formula1>"À faire,OK,KO,Bloqué"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3" min="3" style="0" width="10"/>
    <col collapsed="false" customWidth="true" hidden="false" outlineLevel="0" max="4" min="4" style="0" width="22"/>
    <col collapsed="false" customWidth="true" hidden="false" outlineLevel="0" max="5" min="5" style="0" width="50"/>
    <col collapsed="false" customWidth="true" hidden="false" outlineLevel="0" max="6" min="6" style="0" width="22"/>
  </cols>
  <sheetData>
    <row r="1" customFormat="false" ht="15" hidden="false" customHeight="false" outlineLevel="0" collapsed="false">
      <c r="A1" s="8" t="s">
        <v>884</v>
      </c>
    </row>
    <row r="2" customFormat="false" ht="15" hidden="false" customHeight="false" outlineLevel="0" collapsed="false">
      <c r="A2" s="3" t="s">
        <v>885</v>
      </c>
      <c r="B2" s="3" t="s">
        <v>886</v>
      </c>
      <c r="C2" s="3" t="s">
        <v>887</v>
      </c>
      <c r="D2" s="3" t="s">
        <v>41</v>
      </c>
      <c r="E2" s="3" t="s">
        <v>888</v>
      </c>
    </row>
    <row r="3" customFormat="false" ht="15" hidden="false" customHeight="false" outlineLevel="0" collapsed="false">
      <c r="A3" s="10" t="s">
        <v>889</v>
      </c>
      <c r="B3" s="10" t="s">
        <v>890</v>
      </c>
      <c r="C3" s="10" t="s">
        <v>52</v>
      </c>
      <c r="D3" s="10" t="s">
        <v>890</v>
      </c>
      <c r="E3" s="10" t="s">
        <v>891</v>
      </c>
    </row>
    <row r="4" customFormat="false" ht="15" hidden="false" customHeight="false" outlineLevel="0" collapsed="false">
      <c r="A4" s="10" t="s">
        <v>892</v>
      </c>
      <c r="B4" s="10" t="s">
        <v>893</v>
      </c>
      <c r="C4" s="10" t="s">
        <v>52</v>
      </c>
      <c r="D4" s="10" t="s">
        <v>894</v>
      </c>
      <c r="E4" s="10" t="s">
        <v>895</v>
      </c>
    </row>
    <row r="5" customFormat="false" ht="15" hidden="false" customHeight="false" outlineLevel="0" collapsed="false">
      <c r="A5" s="10" t="s">
        <v>68</v>
      </c>
      <c r="B5" s="10" t="s">
        <v>896</v>
      </c>
      <c r="C5" s="10" t="s">
        <v>66</v>
      </c>
      <c r="D5" s="10" t="s">
        <v>897</v>
      </c>
      <c r="E5" s="10" t="s">
        <v>898</v>
      </c>
    </row>
    <row r="6" customFormat="false" ht="15" hidden="false" customHeight="false" outlineLevel="0" collapsed="false">
      <c r="A6" s="10" t="s">
        <v>899</v>
      </c>
      <c r="B6" s="10" t="s">
        <v>900</v>
      </c>
      <c r="C6" s="10" t="s">
        <v>66</v>
      </c>
      <c r="D6" s="10" t="s">
        <v>901</v>
      </c>
      <c r="E6" s="10" t="s">
        <v>902</v>
      </c>
    </row>
    <row r="7" customFormat="false" ht="15" hidden="false" customHeight="false" outlineLevel="0" collapsed="false">
      <c r="A7" s="10" t="s">
        <v>903</v>
      </c>
      <c r="B7" s="10" t="s">
        <v>904</v>
      </c>
      <c r="C7" s="10" t="s">
        <v>66</v>
      </c>
      <c r="D7" s="10" t="s">
        <v>901</v>
      </c>
      <c r="E7" s="10" t="s">
        <v>905</v>
      </c>
    </row>
    <row r="8" customFormat="false" ht="23.85" hidden="false" customHeight="false" outlineLevel="0" collapsed="false">
      <c r="A8" s="10" t="s">
        <v>906</v>
      </c>
      <c r="B8" s="10" t="s">
        <v>907</v>
      </c>
      <c r="C8" s="10" t="s">
        <v>66</v>
      </c>
      <c r="D8" s="10" t="s">
        <v>901</v>
      </c>
      <c r="E8" s="10" t="s">
        <v>908</v>
      </c>
    </row>
    <row r="9" customFormat="false" ht="15" hidden="false" customHeight="false" outlineLevel="0" collapsed="false">
      <c r="A9" s="10" t="s">
        <v>909</v>
      </c>
      <c r="B9" s="10" t="s">
        <v>910</v>
      </c>
      <c r="C9" s="10" t="s">
        <v>66</v>
      </c>
      <c r="D9" s="10" t="s">
        <v>57</v>
      </c>
      <c r="E9" s="10" t="s">
        <v>911</v>
      </c>
    </row>
    <row r="12" customFormat="false" ht="15" hidden="false" customHeight="false" outlineLevel="0" collapsed="false">
      <c r="A12" s="8" t="s">
        <v>912</v>
      </c>
    </row>
    <row r="13" customFormat="false" ht="26.85" hidden="false" customHeight="false" outlineLevel="0" collapsed="false">
      <c r="A13" s="3" t="s">
        <v>885</v>
      </c>
      <c r="B13" s="3" t="s">
        <v>913</v>
      </c>
      <c r="C13" s="3" t="s">
        <v>914</v>
      </c>
    </row>
    <row r="14" customFormat="false" ht="68.65" hidden="false" customHeight="false" outlineLevel="0" collapsed="false">
      <c r="A14" s="10" t="s">
        <v>915</v>
      </c>
      <c r="B14" s="10" t="s">
        <v>916</v>
      </c>
      <c r="C14" s="10" t="s">
        <v>917</v>
      </c>
    </row>
    <row r="15" customFormat="false" ht="102.2" hidden="false" customHeight="false" outlineLevel="0" collapsed="false">
      <c r="A15" s="10" t="s">
        <v>918</v>
      </c>
      <c r="B15" s="10" t="s">
        <v>916</v>
      </c>
      <c r="C15" s="10" t="s">
        <v>919</v>
      </c>
    </row>
    <row r="16" customFormat="false" ht="68.65" hidden="false" customHeight="false" outlineLevel="0" collapsed="false">
      <c r="A16" s="10" t="s">
        <v>920</v>
      </c>
      <c r="B16" s="10" t="s">
        <v>916</v>
      </c>
      <c r="C16" s="10" t="s">
        <v>921</v>
      </c>
    </row>
    <row r="17" customFormat="false" ht="57.45" hidden="false" customHeight="false" outlineLevel="0" collapsed="false">
      <c r="A17" s="10" t="s">
        <v>922</v>
      </c>
      <c r="B17" s="10" t="s">
        <v>916</v>
      </c>
      <c r="C17" s="10" t="s">
        <v>923</v>
      </c>
    </row>
    <row r="18" customFormat="false" ht="68.65" hidden="false" customHeight="false" outlineLevel="0" collapsed="false">
      <c r="A18" s="10" t="s">
        <v>924</v>
      </c>
      <c r="B18" s="10" t="s">
        <v>916</v>
      </c>
      <c r="C18" s="10" t="s">
        <v>925</v>
      </c>
    </row>
    <row r="19" customFormat="false" ht="57.45" hidden="false" customHeight="false" outlineLevel="0" collapsed="false">
      <c r="A19" s="10" t="s">
        <v>926</v>
      </c>
      <c r="B19" s="10" t="s">
        <v>916</v>
      </c>
      <c r="C19" s="10" t="s">
        <v>927</v>
      </c>
    </row>
    <row r="20" customFormat="false" ht="57.45" hidden="false" customHeight="false" outlineLevel="0" collapsed="false">
      <c r="A20" s="10" t="s">
        <v>928</v>
      </c>
      <c r="B20" s="10" t="s">
        <v>916</v>
      </c>
      <c r="C20" s="10" t="s">
        <v>929</v>
      </c>
    </row>
    <row r="21" customFormat="false" ht="68.65" hidden="false" customHeight="false" outlineLevel="0" collapsed="false">
      <c r="A21" s="10" t="s">
        <v>930</v>
      </c>
      <c r="B21" s="10" t="s">
        <v>916</v>
      </c>
      <c r="C21" s="10" t="s">
        <v>931</v>
      </c>
    </row>
    <row r="22" customFormat="false" ht="46.25" hidden="false" customHeight="false" outlineLevel="0" collapsed="false">
      <c r="A22" s="10" t="s">
        <v>932</v>
      </c>
      <c r="B22" s="10" t="s">
        <v>916</v>
      </c>
      <c r="C22" s="10" t="s">
        <v>933</v>
      </c>
    </row>
    <row r="23" customFormat="false" ht="79.85" hidden="false" customHeight="false" outlineLevel="0" collapsed="false">
      <c r="A23" s="10" t="s">
        <v>934</v>
      </c>
      <c r="B23" s="10" t="s">
        <v>935</v>
      </c>
      <c r="C23" s="10" t="s">
        <v>936</v>
      </c>
    </row>
    <row r="24" customFormat="false" ht="91" hidden="false" customHeight="false" outlineLevel="0" collapsed="false">
      <c r="A24" s="10" t="s">
        <v>937</v>
      </c>
      <c r="B24" s="10" t="s">
        <v>938</v>
      </c>
      <c r="C24" s="10" t="s">
        <v>939</v>
      </c>
    </row>
    <row r="25" customFormat="false" ht="79.85" hidden="false" customHeight="false" outlineLevel="0" collapsed="false">
      <c r="A25" s="10" t="s">
        <v>940</v>
      </c>
      <c r="B25" s="10" t="s">
        <v>938</v>
      </c>
      <c r="C25" s="10" t="s">
        <v>941</v>
      </c>
    </row>
    <row r="28" customFormat="false" ht="15" hidden="false" customHeight="false" outlineLevel="0" collapsed="false">
      <c r="A28" s="2" t="s">
        <v>942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90"/>
    <col collapsed="false" customWidth="true" hidden="false" outlineLevel="0" max="3" min="3" style="0" width="10"/>
    <col collapsed="false" customWidth="true" hidden="false" outlineLevel="0" max="4" min="4" style="0" width="36"/>
  </cols>
  <sheetData>
    <row r="1" customFormat="false" ht="15" hidden="false" customHeight="false" outlineLevel="0" collapsed="false">
      <c r="A1" s="3" t="s">
        <v>943</v>
      </c>
      <c r="B1" s="3" t="s">
        <v>944</v>
      </c>
      <c r="C1" s="3" t="s">
        <v>945</v>
      </c>
      <c r="D1" s="3" t="s">
        <v>49</v>
      </c>
    </row>
    <row r="2" customFormat="false" ht="15" hidden="false" customHeight="false" outlineLevel="0" collapsed="false">
      <c r="A2" s="10" t="s">
        <v>946</v>
      </c>
      <c r="B2" s="10" t="s">
        <v>947</v>
      </c>
      <c r="C2" s="11" t="s">
        <v>948</v>
      </c>
      <c r="D2" s="11"/>
    </row>
    <row r="3" customFormat="false" ht="15" hidden="false" customHeight="false" outlineLevel="0" collapsed="false">
      <c r="A3" s="10" t="s">
        <v>946</v>
      </c>
      <c r="B3" s="10" t="s">
        <v>949</v>
      </c>
      <c r="C3" s="11" t="s">
        <v>948</v>
      </c>
      <c r="D3" s="11"/>
    </row>
    <row r="4" customFormat="false" ht="15" hidden="false" customHeight="false" outlineLevel="0" collapsed="false">
      <c r="A4" s="10" t="s">
        <v>946</v>
      </c>
      <c r="B4" s="10" t="s">
        <v>950</v>
      </c>
      <c r="C4" s="11" t="s">
        <v>948</v>
      </c>
      <c r="D4" s="11"/>
    </row>
    <row r="5" customFormat="false" ht="15" hidden="false" customHeight="false" outlineLevel="0" collapsed="false">
      <c r="A5" s="10" t="s">
        <v>946</v>
      </c>
      <c r="B5" s="10" t="s">
        <v>951</v>
      </c>
      <c r="C5" s="11" t="s">
        <v>948</v>
      </c>
      <c r="D5" s="11"/>
    </row>
    <row r="6" customFormat="false" ht="15" hidden="false" customHeight="false" outlineLevel="0" collapsed="false">
      <c r="A6" s="10" t="s">
        <v>946</v>
      </c>
      <c r="B6" s="10" t="s">
        <v>952</v>
      </c>
      <c r="C6" s="11" t="s">
        <v>948</v>
      </c>
      <c r="D6" s="11"/>
    </row>
    <row r="7" customFormat="false" ht="15" hidden="false" customHeight="false" outlineLevel="0" collapsed="false">
      <c r="A7" s="10" t="s">
        <v>946</v>
      </c>
      <c r="B7" s="10" t="s">
        <v>953</v>
      </c>
      <c r="C7" s="11" t="s">
        <v>948</v>
      </c>
      <c r="D7" s="11"/>
    </row>
    <row r="8" customFormat="false" ht="15" hidden="false" customHeight="false" outlineLevel="0" collapsed="false">
      <c r="A8" s="10" t="s">
        <v>946</v>
      </c>
      <c r="B8" s="10" t="s">
        <v>954</v>
      </c>
      <c r="C8" s="11" t="s">
        <v>948</v>
      </c>
      <c r="D8" s="11"/>
    </row>
    <row r="9" customFormat="false" ht="23.85" hidden="false" customHeight="false" outlineLevel="0" collapsed="false">
      <c r="A9" s="10" t="s">
        <v>946</v>
      </c>
      <c r="B9" s="10" t="s">
        <v>955</v>
      </c>
      <c r="C9" s="11" t="s">
        <v>948</v>
      </c>
      <c r="D9" s="11"/>
    </row>
    <row r="10" customFormat="false" ht="23.85" hidden="false" customHeight="false" outlineLevel="0" collapsed="false">
      <c r="A10" s="10" t="s">
        <v>956</v>
      </c>
      <c r="B10" s="10" t="s">
        <v>957</v>
      </c>
      <c r="C10" s="11" t="s">
        <v>948</v>
      </c>
      <c r="D10" s="11"/>
    </row>
    <row r="11" customFormat="false" ht="23.85" hidden="false" customHeight="false" outlineLevel="0" collapsed="false">
      <c r="A11" s="10" t="s">
        <v>956</v>
      </c>
      <c r="B11" s="10" t="s">
        <v>958</v>
      </c>
      <c r="C11" s="11" t="s">
        <v>948</v>
      </c>
      <c r="D11" s="11"/>
    </row>
    <row r="12" customFormat="false" ht="23.85" hidden="false" customHeight="false" outlineLevel="0" collapsed="false">
      <c r="A12" s="10" t="s">
        <v>956</v>
      </c>
      <c r="B12" s="10" t="s">
        <v>959</v>
      </c>
      <c r="C12" s="11" t="s">
        <v>948</v>
      </c>
      <c r="D12" s="11"/>
    </row>
    <row r="13" customFormat="false" ht="23.85" hidden="false" customHeight="false" outlineLevel="0" collapsed="false">
      <c r="A13" s="10" t="s">
        <v>956</v>
      </c>
      <c r="B13" s="10" t="s">
        <v>960</v>
      </c>
      <c r="C13" s="11" t="s">
        <v>948</v>
      </c>
      <c r="D13" s="11"/>
    </row>
    <row r="14" customFormat="false" ht="23.85" hidden="false" customHeight="false" outlineLevel="0" collapsed="false">
      <c r="A14" s="10" t="s">
        <v>956</v>
      </c>
      <c r="B14" s="10" t="s">
        <v>961</v>
      </c>
      <c r="C14" s="11" t="s">
        <v>948</v>
      </c>
      <c r="D14" s="11"/>
    </row>
    <row r="15" customFormat="false" ht="23.85" hidden="false" customHeight="false" outlineLevel="0" collapsed="false">
      <c r="A15" s="10" t="s">
        <v>956</v>
      </c>
      <c r="B15" s="10" t="s">
        <v>962</v>
      </c>
      <c r="C15" s="11" t="s">
        <v>948</v>
      </c>
      <c r="D15" s="11"/>
    </row>
    <row r="16" customFormat="false" ht="23.85" hidden="false" customHeight="false" outlineLevel="0" collapsed="false">
      <c r="A16" s="10" t="s">
        <v>956</v>
      </c>
      <c r="B16" s="10" t="s">
        <v>963</v>
      </c>
      <c r="C16" s="11" t="s">
        <v>948</v>
      </c>
      <c r="D16" s="11"/>
    </row>
    <row r="17" customFormat="false" ht="23.85" hidden="false" customHeight="false" outlineLevel="0" collapsed="false">
      <c r="A17" s="10" t="s">
        <v>956</v>
      </c>
      <c r="B17" s="10" t="s">
        <v>964</v>
      </c>
      <c r="C17" s="11" t="s">
        <v>948</v>
      </c>
      <c r="D17" s="11"/>
    </row>
    <row r="18" customFormat="false" ht="23.85" hidden="false" customHeight="false" outlineLevel="0" collapsed="false">
      <c r="A18" s="10" t="s">
        <v>956</v>
      </c>
      <c r="B18" s="10" t="s">
        <v>965</v>
      </c>
      <c r="C18" s="11" t="s">
        <v>948</v>
      </c>
      <c r="D18" s="11"/>
    </row>
    <row r="19" customFormat="false" ht="23.85" hidden="false" customHeight="false" outlineLevel="0" collapsed="false">
      <c r="A19" s="10" t="s">
        <v>956</v>
      </c>
      <c r="B19" s="10" t="s">
        <v>966</v>
      </c>
      <c r="C19" s="11" t="s">
        <v>948</v>
      </c>
      <c r="D19" s="11"/>
    </row>
    <row r="20" customFormat="false" ht="23.85" hidden="false" customHeight="false" outlineLevel="0" collapsed="false">
      <c r="A20" s="10" t="s">
        <v>956</v>
      </c>
      <c r="B20" s="10" t="s">
        <v>967</v>
      </c>
      <c r="C20" s="11" t="s">
        <v>948</v>
      </c>
      <c r="D20" s="11"/>
    </row>
    <row r="21" customFormat="false" ht="23.85" hidden="false" customHeight="false" outlineLevel="0" collapsed="false">
      <c r="A21" s="10" t="s">
        <v>956</v>
      </c>
      <c r="B21" s="10" t="s">
        <v>968</v>
      </c>
      <c r="C21" s="11" t="s">
        <v>948</v>
      </c>
      <c r="D21" s="11"/>
    </row>
    <row r="22" customFormat="false" ht="23.85" hidden="false" customHeight="false" outlineLevel="0" collapsed="false">
      <c r="A22" s="10" t="s">
        <v>956</v>
      </c>
      <c r="B22" s="10" t="s">
        <v>969</v>
      </c>
      <c r="C22" s="11" t="s">
        <v>948</v>
      </c>
      <c r="D22" s="11"/>
    </row>
    <row r="23" customFormat="false" ht="23.85" hidden="false" customHeight="false" outlineLevel="0" collapsed="false">
      <c r="A23" s="10" t="s">
        <v>956</v>
      </c>
      <c r="B23" s="10" t="s">
        <v>970</v>
      </c>
      <c r="C23" s="11" t="s">
        <v>948</v>
      </c>
      <c r="D23" s="11"/>
    </row>
    <row r="24" customFormat="false" ht="23.85" hidden="false" customHeight="false" outlineLevel="0" collapsed="false">
      <c r="A24" s="10" t="s">
        <v>956</v>
      </c>
      <c r="B24" s="10" t="s">
        <v>971</v>
      </c>
      <c r="C24" s="11" t="s">
        <v>948</v>
      </c>
      <c r="D24" s="11"/>
    </row>
    <row r="25" customFormat="false" ht="23.85" hidden="false" customHeight="false" outlineLevel="0" collapsed="false">
      <c r="A25" s="10" t="s">
        <v>956</v>
      </c>
      <c r="B25" s="10" t="s">
        <v>972</v>
      </c>
      <c r="C25" s="11" t="s">
        <v>948</v>
      </c>
      <c r="D25" s="11"/>
    </row>
    <row r="26" customFormat="false" ht="15" hidden="false" customHeight="false" outlineLevel="0" collapsed="false">
      <c r="A26" s="10" t="s">
        <v>973</v>
      </c>
      <c r="B26" s="10" t="s">
        <v>974</v>
      </c>
      <c r="C26" s="11" t="s">
        <v>948</v>
      </c>
      <c r="D26" s="11"/>
    </row>
    <row r="27" customFormat="false" ht="15" hidden="false" customHeight="false" outlineLevel="0" collapsed="false">
      <c r="A27" s="10" t="s">
        <v>973</v>
      </c>
      <c r="B27" s="10" t="s">
        <v>975</v>
      </c>
      <c r="C27" s="11" t="s">
        <v>948</v>
      </c>
      <c r="D27" s="11"/>
    </row>
    <row r="28" customFormat="false" ht="15" hidden="false" customHeight="false" outlineLevel="0" collapsed="false">
      <c r="A28" s="10" t="s">
        <v>973</v>
      </c>
      <c r="B28" s="10" t="s">
        <v>976</v>
      </c>
      <c r="C28" s="11" t="s">
        <v>948</v>
      </c>
      <c r="D28" s="11"/>
    </row>
    <row r="29" customFormat="false" ht="15" hidden="false" customHeight="false" outlineLevel="0" collapsed="false">
      <c r="A29" s="10" t="s">
        <v>973</v>
      </c>
      <c r="B29" s="10" t="s">
        <v>977</v>
      </c>
      <c r="C29" s="11" t="s">
        <v>948</v>
      </c>
      <c r="D29" s="11"/>
    </row>
    <row r="30" customFormat="false" ht="15" hidden="false" customHeight="false" outlineLevel="0" collapsed="false">
      <c r="A30" s="10" t="s">
        <v>978</v>
      </c>
      <c r="B30" s="10" t="s">
        <v>979</v>
      </c>
      <c r="C30" s="11" t="s">
        <v>948</v>
      </c>
      <c r="D30" s="11"/>
    </row>
    <row r="31" customFormat="false" ht="15" hidden="false" customHeight="false" outlineLevel="0" collapsed="false">
      <c r="A31" s="10" t="s">
        <v>978</v>
      </c>
      <c r="B31" s="10" t="s">
        <v>980</v>
      </c>
      <c r="C31" s="11" t="s">
        <v>948</v>
      </c>
      <c r="D31" s="11"/>
    </row>
    <row r="32" customFormat="false" ht="15" hidden="false" customHeight="false" outlineLevel="0" collapsed="false">
      <c r="A32" s="10" t="s">
        <v>978</v>
      </c>
      <c r="B32" s="10" t="s">
        <v>981</v>
      </c>
      <c r="C32" s="11" t="s">
        <v>948</v>
      </c>
      <c r="D32" s="11"/>
    </row>
    <row r="33" customFormat="false" ht="15" hidden="false" customHeight="false" outlineLevel="0" collapsed="false">
      <c r="A33" s="10" t="s">
        <v>978</v>
      </c>
      <c r="B33" s="10" t="s">
        <v>982</v>
      </c>
      <c r="C33" s="11" t="s">
        <v>948</v>
      </c>
      <c r="D33" s="11"/>
    </row>
    <row r="34" customFormat="false" ht="15" hidden="false" customHeight="false" outlineLevel="0" collapsed="false">
      <c r="A34" s="10" t="s">
        <v>978</v>
      </c>
      <c r="B34" s="10" t="s">
        <v>983</v>
      </c>
      <c r="C34" s="11" t="s">
        <v>948</v>
      </c>
      <c r="D34" s="11"/>
    </row>
  </sheetData>
  <dataValidations count="1">
    <dataValidation allowBlank="false" errorStyle="stop" operator="between" showDropDown="false" showErrorMessage="false" showInputMessage="false" sqref="C2:C34" type="list">
      <formula1>"Oui,Non,N/A"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6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12"/>
    <col collapsed="false" customWidth="true" hidden="false" outlineLevel="0" max="3" min="3" style="0" width="10"/>
    <col collapsed="false" customWidth="true" hidden="false" outlineLevel="0" max="4" min="4" style="0" width="20"/>
    <col collapsed="false" customWidth="true" hidden="false" outlineLevel="0" max="5" min="5" style="0" width="12"/>
    <col collapsed="false" customWidth="true" hidden="false" outlineLevel="0" max="6" min="6" style="0" width="28"/>
    <col collapsed="false" customWidth="true" hidden="false" outlineLevel="0" max="7" min="7" style="0" width="40"/>
    <col collapsed="false" customWidth="true" hidden="false" outlineLevel="0" max="9" min="8" style="0" width="34"/>
    <col collapsed="false" customWidth="true" hidden="false" outlineLevel="0" max="10" min="10" style="0" width="12"/>
    <col collapsed="false" customWidth="true" hidden="false" outlineLevel="0" max="11" min="11" style="0" width="16"/>
    <col collapsed="false" customWidth="true" hidden="false" outlineLevel="0" max="12" min="12" style="0" width="12"/>
  </cols>
  <sheetData>
    <row r="1" customFormat="false" ht="15" hidden="false" customHeight="false" outlineLevel="0" collapsed="false">
      <c r="A1" s="3" t="s">
        <v>39</v>
      </c>
      <c r="B1" s="3" t="s">
        <v>984</v>
      </c>
      <c r="C1" s="3" t="s">
        <v>985</v>
      </c>
      <c r="D1" s="3" t="s">
        <v>986</v>
      </c>
      <c r="E1" s="3" t="s">
        <v>987</v>
      </c>
      <c r="F1" s="3" t="s">
        <v>988</v>
      </c>
      <c r="G1" s="3" t="s">
        <v>989</v>
      </c>
      <c r="H1" s="3" t="s">
        <v>990</v>
      </c>
      <c r="I1" s="3" t="s">
        <v>44</v>
      </c>
      <c r="J1" s="3" t="s">
        <v>47</v>
      </c>
      <c r="K1" s="3" t="s">
        <v>991</v>
      </c>
      <c r="L1" s="3" t="s">
        <v>46</v>
      </c>
    </row>
    <row r="2" customFormat="false" ht="23.85" hidden="false" customHeight="false" outlineLevel="0" collapsed="false">
      <c r="A2" s="11" t="s">
        <v>992</v>
      </c>
      <c r="B2" s="11" t="s">
        <v>181</v>
      </c>
      <c r="C2" s="11" t="s">
        <v>993</v>
      </c>
      <c r="D2" s="11" t="s">
        <v>994</v>
      </c>
      <c r="E2" s="11" t="s">
        <v>68</v>
      </c>
      <c r="F2" s="11" t="s">
        <v>995</v>
      </c>
      <c r="G2" s="11" t="s">
        <v>996</v>
      </c>
      <c r="H2" s="11" t="s">
        <v>997</v>
      </c>
      <c r="I2" s="11" t="s">
        <v>997</v>
      </c>
      <c r="J2" s="11" t="s">
        <v>998</v>
      </c>
      <c r="K2" s="11"/>
      <c r="L2" s="11"/>
    </row>
    <row r="3" customFormat="false" ht="15" hidden="false" customHeight="false" outlineLevel="0" collapsed="false">
      <c r="A3" s="11"/>
      <c r="B3" s="11"/>
      <c r="C3" s="11"/>
      <c r="D3" s="11"/>
      <c r="E3" s="11"/>
      <c r="F3" s="11"/>
      <c r="G3" s="11"/>
      <c r="H3" s="11"/>
      <c r="I3" s="11"/>
      <c r="J3" s="11"/>
      <c r="K3" s="11"/>
      <c r="L3" s="11"/>
    </row>
    <row r="4" customFormat="false" ht="15" hidden="false" customHeight="false" outlineLevel="0" collapsed="false">
      <c r="A4" s="11"/>
      <c r="B4" s="11"/>
      <c r="C4" s="11"/>
      <c r="D4" s="11"/>
      <c r="E4" s="11"/>
      <c r="F4" s="11"/>
      <c r="G4" s="11"/>
      <c r="H4" s="11"/>
      <c r="I4" s="11"/>
      <c r="J4" s="11"/>
      <c r="K4" s="11"/>
      <c r="L4" s="11"/>
    </row>
    <row r="5" customFormat="false" ht="15" hidden="false" customHeight="false" outlineLevel="0" collapsed="false">
      <c r="A5" s="11"/>
      <c r="B5" s="11"/>
      <c r="C5" s="11"/>
      <c r="D5" s="11"/>
      <c r="E5" s="11"/>
      <c r="F5" s="11"/>
      <c r="G5" s="11"/>
      <c r="H5" s="11"/>
      <c r="I5" s="11"/>
      <c r="J5" s="11"/>
      <c r="K5" s="11"/>
      <c r="L5" s="11"/>
    </row>
    <row r="6" customFormat="false" ht="15" hidden="false" customHeight="false" outlineLevel="0" collapsed="false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</row>
    <row r="7" customFormat="false" ht="15" hidden="false" customHeight="false" outlineLevel="0" collapsed="false">
      <c r="A7" s="11"/>
      <c r="B7" s="11"/>
      <c r="C7" s="11"/>
      <c r="D7" s="11"/>
      <c r="E7" s="11"/>
      <c r="F7" s="11"/>
      <c r="G7" s="11"/>
      <c r="H7" s="11"/>
      <c r="I7" s="11"/>
      <c r="J7" s="11"/>
      <c r="K7" s="11"/>
      <c r="L7" s="11"/>
    </row>
    <row r="8" customFormat="false" ht="15" hidden="false" customHeight="false" outlineLevel="0" collapsed="false">
      <c r="A8" s="11"/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</row>
    <row r="9" customFormat="false" ht="15" hidden="false" customHeight="false" outlineLevel="0" collapsed="false">
      <c r="A9" s="11"/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</row>
    <row r="10" customFormat="false" ht="15" hidden="false" customHeight="false" outlineLevel="0" collapsed="false">
      <c r="A10" s="11"/>
      <c r="B10" s="11"/>
      <c r="C10" s="11"/>
      <c r="D10" s="11"/>
      <c r="E10" s="11"/>
      <c r="F10" s="11"/>
      <c r="G10" s="11"/>
      <c r="H10" s="11"/>
      <c r="I10" s="11"/>
      <c r="J10" s="11"/>
      <c r="K10" s="11"/>
      <c r="L10" s="11"/>
    </row>
    <row r="11" customFormat="false" ht="15" hidden="false" customHeight="false" outlineLevel="0" collapsed="false">
      <c r="A11" s="11"/>
      <c r="B11" s="11"/>
      <c r="C11" s="11"/>
      <c r="D11" s="11"/>
      <c r="E11" s="11"/>
      <c r="F11" s="11"/>
      <c r="G11" s="11"/>
      <c r="H11" s="11"/>
      <c r="I11" s="11"/>
      <c r="J11" s="11"/>
      <c r="K11" s="11"/>
      <c r="L11" s="11"/>
    </row>
    <row r="12" customFormat="false" ht="15" hidden="false" customHeight="false" outlineLevel="0" collapsed="false">
      <c r="A12" s="11"/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</row>
    <row r="13" customFormat="false" ht="15" hidden="false" customHeight="false" outlineLevel="0" collapsed="false">
      <c r="A13" s="11"/>
      <c r="B13" s="11"/>
      <c r="C13" s="11"/>
      <c r="D13" s="11"/>
      <c r="E13" s="11"/>
      <c r="F13" s="11"/>
      <c r="G13" s="11"/>
      <c r="H13" s="11"/>
      <c r="I13" s="11"/>
      <c r="J13" s="11"/>
      <c r="K13" s="11"/>
      <c r="L13" s="11"/>
    </row>
    <row r="14" customFormat="false" ht="15" hidden="false" customHeight="false" outlineLevel="0" collapsed="false">
      <c r="A14" s="11"/>
      <c r="B14" s="11"/>
      <c r="C14" s="11"/>
      <c r="D14" s="11"/>
      <c r="E14" s="11"/>
      <c r="F14" s="11"/>
      <c r="G14" s="11"/>
      <c r="H14" s="11"/>
      <c r="I14" s="11"/>
      <c r="J14" s="11"/>
      <c r="K14" s="11"/>
      <c r="L14" s="11"/>
    </row>
    <row r="15" customFormat="false" ht="15" hidden="false" customHeight="false" outlineLevel="0" collapsed="false">
      <c r="A15" s="11"/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</row>
    <row r="16" customFormat="false" ht="15" hidden="false" customHeight="false" outlineLevel="0" collapsed="false">
      <c r="A16" s="11"/>
      <c r="B16" s="11"/>
      <c r="C16" s="11"/>
      <c r="D16" s="11"/>
      <c r="E16" s="11"/>
      <c r="F16" s="11"/>
      <c r="G16" s="11"/>
      <c r="H16" s="11"/>
      <c r="I16" s="11"/>
      <c r="J16" s="11"/>
      <c r="K16" s="11"/>
      <c r="L16" s="11"/>
    </row>
    <row r="17" customFormat="false" ht="15" hidden="false" customHeight="false" outlineLevel="0" collapsed="false">
      <c r="A17" s="11"/>
      <c r="B17" s="11"/>
      <c r="C17" s="11"/>
      <c r="D17" s="11"/>
      <c r="E17" s="11"/>
      <c r="F17" s="11"/>
      <c r="G17" s="11"/>
      <c r="H17" s="11"/>
      <c r="I17" s="11"/>
      <c r="J17" s="11"/>
      <c r="K17" s="11"/>
      <c r="L17" s="11"/>
    </row>
    <row r="18" customFormat="false" ht="15" hidden="false" customHeight="false" outlineLevel="0" collapsed="false">
      <c r="A18" s="11"/>
      <c r="B18" s="11"/>
      <c r="C18" s="11"/>
      <c r="D18" s="11"/>
      <c r="E18" s="11"/>
      <c r="F18" s="11"/>
      <c r="G18" s="11"/>
      <c r="H18" s="11"/>
      <c r="I18" s="11"/>
      <c r="J18" s="11"/>
      <c r="K18" s="11"/>
      <c r="L18" s="11"/>
    </row>
    <row r="19" customFormat="false" ht="15" hidden="false" customHeight="false" outlineLevel="0" collapsed="false">
      <c r="A19" s="11"/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</row>
    <row r="20" customFormat="false" ht="15" hidden="false" customHeight="false" outlineLevel="0" collapsed="false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</row>
    <row r="21" customFormat="false" ht="15" hidden="false" customHeight="false" outlineLevel="0" collapsed="false">
      <c r="A21" s="11"/>
      <c r="B21" s="11"/>
      <c r="C21" s="11"/>
      <c r="D21" s="11"/>
      <c r="E21" s="11"/>
      <c r="F21" s="11"/>
      <c r="G21" s="11"/>
      <c r="H21" s="11"/>
      <c r="I21" s="11"/>
      <c r="J21" s="11"/>
      <c r="K21" s="11"/>
      <c r="L21" s="11"/>
    </row>
    <row r="22" customFormat="false" ht="15" hidden="false" customHeight="false" outlineLevel="0" collapsed="false">
      <c r="A22" s="11"/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</row>
    <row r="23" customFormat="false" ht="15" hidden="false" customHeight="false" outlineLevel="0" collapsed="false">
      <c r="A23" s="11"/>
      <c r="B23" s="11"/>
      <c r="C23" s="11"/>
      <c r="D23" s="11"/>
      <c r="E23" s="11"/>
      <c r="F23" s="11"/>
      <c r="G23" s="11"/>
      <c r="H23" s="11"/>
      <c r="I23" s="11"/>
      <c r="J23" s="11"/>
      <c r="K23" s="11"/>
      <c r="L23" s="11"/>
    </row>
    <row r="24" customFormat="false" ht="15" hidden="false" customHeight="false" outlineLevel="0" collapsed="false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</row>
    <row r="25" customFormat="false" ht="15" hidden="false" customHeight="false" outlineLevel="0" collapsed="false">
      <c r="A25" s="11"/>
      <c r="B25" s="11"/>
      <c r="C25" s="11"/>
      <c r="D25" s="11"/>
      <c r="E25" s="11"/>
      <c r="F25" s="11"/>
      <c r="G25" s="11"/>
      <c r="H25" s="11"/>
      <c r="I25" s="11"/>
      <c r="J25" s="11"/>
      <c r="K25" s="11"/>
      <c r="L25" s="11"/>
    </row>
    <row r="26" customFormat="false" ht="15" hidden="false" customHeight="false" outlineLevel="0" collapsed="false">
      <c r="A26" s="11"/>
      <c r="B26" s="11"/>
      <c r="C26" s="11"/>
      <c r="D26" s="11"/>
      <c r="E26" s="11"/>
      <c r="F26" s="11"/>
      <c r="G26" s="11"/>
      <c r="H26" s="11"/>
      <c r="I26" s="11"/>
      <c r="J26" s="11"/>
      <c r="K26" s="11"/>
      <c r="L26" s="11"/>
    </row>
    <row r="27" customFormat="false" ht="15" hidden="false" customHeight="false" outlineLevel="0" collapsed="false">
      <c r="A27" s="11"/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</row>
    <row r="28" customFormat="false" ht="15" hidden="false" customHeight="false" outlineLevel="0" collapsed="false">
      <c r="A28" s="11"/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</row>
    <row r="29" customFormat="false" ht="15" hidden="false" customHeight="false" outlineLevel="0" collapsed="false">
      <c r="A29" s="11"/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</row>
    <row r="30" customFormat="false" ht="15" hidden="false" customHeight="false" outlineLevel="0" collapsed="false">
      <c r="A30" s="11"/>
      <c r="B30" s="11"/>
      <c r="C30" s="11"/>
      <c r="D30" s="11"/>
      <c r="E30" s="11"/>
      <c r="F30" s="11"/>
      <c r="G30" s="11"/>
      <c r="H30" s="11"/>
      <c r="I30" s="11"/>
      <c r="J30" s="11"/>
      <c r="K30" s="11"/>
      <c r="L30" s="11"/>
    </row>
    <row r="31" customFormat="false" ht="15" hidden="false" customHeight="false" outlineLevel="0" collapsed="false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</row>
    <row r="32" customFormat="false" ht="15" hidden="false" customHeight="false" outlineLevel="0" collapsed="false">
      <c r="A32" s="11"/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</row>
    <row r="33" customFormat="false" ht="15" hidden="false" customHeight="false" outlineLevel="0" collapsed="false">
      <c r="A33" s="11"/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</row>
    <row r="34" customFormat="false" ht="15" hidden="false" customHeight="false" outlineLevel="0" collapsed="false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</row>
    <row r="35" customFormat="false" ht="15" hidden="false" customHeight="false" outlineLevel="0" collapsed="false">
      <c r="A35" s="11"/>
      <c r="B35" s="11"/>
      <c r="C35" s="11"/>
      <c r="D35" s="11"/>
      <c r="E35" s="11"/>
      <c r="F35" s="11"/>
      <c r="G35" s="11"/>
      <c r="H35" s="11"/>
      <c r="I35" s="11"/>
      <c r="J35" s="11"/>
      <c r="K35" s="11"/>
      <c r="L35" s="11"/>
    </row>
    <row r="36" customFormat="false" ht="15" hidden="false" customHeight="false" outlineLevel="0" collapsed="false">
      <c r="A36" s="11"/>
      <c r="B36" s="11"/>
      <c r="C36" s="11"/>
      <c r="D36" s="11"/>
      <c r="E36" s="11"/>
      <c r="F36" s="11"/>
      <c r="G36" s="11"/>
      <c r="H36" s="11"/>
      <c r="I36" s="11"/>
      <c r="J36" s="11"/>
      <c r="K36" s="11"/>
      <c r="L36" s="11"/>
    </row>
    <row r="37" customFormat="false" ht="15" hidden="false" customHeight="false" outlineLevel="0" collapsed="false">
      <c r="A37" s="11"/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</row>
    <row r="38" customFormat="false" ht="15" hidden="false" customHeight="false" outlineLevel="0" collapsed="false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</row>
    <row r="39" customFormat="false" ht="15" hidden="false" customHeight="false" outlineLevel="0" collapsed="false">
      <c r="A39" s="11"/>
      <c r="B39" s="11"/>
      <c r="C39" s="11"/>
      <c r="D39" s="11"/>
      <c r="E39" s="11"/>
      <c r="F39" s="11"/>
      <c r="G39" s="11"/>
      <c r="H39" s="11"/>
      <c r="I39" s="11"/>
      <c r="J39" s="11"/>
      <c r="K39" s="11"/>
      <c r="L39" s="11"/>
    </row>
    <row r="40" customFormat="false" ht="15" hidden="false" customHeight="false" outlineLevel="0" collapsed="false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</row>
    <row r="41" customFormat="false" ht="15" hidden="false" customHeight="false" outlineLevel="0" collapsed="false">
      <c r="A41" s="11"/>
      <c r="B41" s="11"/>
      <c r="C41" s="11"/>
      <c r="D41" s="11"/>
      <c r="E41" s="11"/>
      <c r="F41" s="11"/>
      <c r="G41" s="11"/>
      <c r="H41" s="11"/>
      <c r="I41" s="11"/>
      <c r="J41" s="11"/>
      <c r="K41" s="11"/>
      <c r="L41" s="11"/>
    </row>
    <row r="42" customFormat="false" ht="15" hidden="false" customHeight="false" outlineLevel="0" collapsed="false">
      <c r="A42" s="11"/>
      <c r="B42" s="11"/>
      <c r="C42" s="11"/>
      <c r="D42" s="11"/>
      <c r="E42" s="11"/>
      <c r="F42" s="11"/>
      <c r="G42" s="11"/>
      <c r="H42" s="11"/>
      <c r="I42" s="11"/>
      <c r="J42" s="11"/>
      <c r="K42" s="11"/>
      <c r="L42" s="11"/>
    </row>
    <row r="43" customFormat="false" ht="15" hidden="false" customHeight="false" outlineLevel="0" collapsed="false">
      <c r="A43" s="11"/>
      <c r="B43" s="11"/>
      <c r="C43" s="11"/>
      <c r="D43" s="11"/>
      <c r="E43" s="11"/>
      <c r="F43" s="11"/>
      <c r="G43" s="11"/>
      <c r="H43" s="11"/>
      <c r="I43" s="11"/>
      <c r="J43" s="11"/>
      <c r="K43" s="11"/>
      <c r="L43" s="11"/>
    </row>
    <row r="44" customFormat="false" ht="15" hidden="false" customHeight="false" outlineLevel="0" collapsed="false">
      <c r="A44" s="11"/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</row>
    <row r="45" customFormat="false" ht="15" hidden="false" customHeight="false" outlineLevel="0" collapsed="false">
      <c r="A45" s="11"/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</row>
    <row r="46" customFormat="false" ht="15" hidden="false" customHeight="false" outlineLevel="0" collapsed="false">
      <c r="A46" s="11"/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</row>
    <row r="47" customFormat="false" ht="15" hidden="false" customHeight="false" outlineLevel="0" collapsed="false">
      <c r="A47" s="11"/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</row>
    <row r="48" customFormat="false" ht="15" hidden="false" customHeight="false" outlineLevel="0" collapsed="false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</row>
    <row r="49" customFormat="false" ht="15" hidden="false" customHeight="false" outlineLevel="0" collapsed="false">
      <c r="A49" s="11"/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</row>
    <row r="50" customFormat="false" ht="15" hidden="false" customHeight="false" outlineLevel="0" collapsed="false">
      <c r="A50" s="11"/>
      <c r="B50" s="11"/>
      <c r="C50" s="11"/>
      <c r="D50" s="11"/>
      <c r="E50" s="11"/>
      <c r="F50" s="11"/>
      <c r="G50" s="11"/>
      <c r="H50" s="11"/>
      <c r="I50" s="11"/>
      <c r="J50" s="11"/>
      <c r="K50" s="11"/>
      <c r="L50" s="11"/>
    </row>
    <row r="51" customFormat="false" ht="15" hidden="false" customHeight="false" outlineLevel="0" collapsed="false">
      <c r="A51" s="11"/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</row>
    <row r="52" customFormat="false" ht="15" hidden="false" customHeight="false" outlineLevel="0" collapsed="false">
      <c r="A52" s="11"/>
      <c r="B52" s="11"/>
      <c r="C52" s="11"/>
      <c r="D52" s="11"/>
      <c r="E52" s="11"/>
      <c r="F52" s="11"/>
      <c r="G52" s="11"/>
      <c r="H52" s="11"/>
      <c r="I52" s="11"/>
      <c r="J52" s="11"/>
      <c r="K52" s="11"/>
      <c r="L52" s="11"/>
    </row>
    <row r="53" customFormat="false" ht="15" hidden="false" customHeight="false" outlineLevel="0" collapsed="false">
      <c r="A53" s="11"/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</row>
    <row r="54" customFormat="false" ht="15" hidden="false" customHeight="false" outlineLevel="0" collapsed="false">
      <c r="A54" s="11"/>
      <c r="B54" s="11"/>
      <c r="C54" s="11"/>
      <c r="D54" s="11"/>
      <c r="E54" s="11"/>
      <c r="F54" s="11"/>
      <c r="G54" s="11"/>
      <c r="H54" s="11"/>
      <c r="I54" s="11"/>
      <c r="J54" s="11"/>
      <c r="K54" s="11"/>
      <c r="L54" s="11"/>
    </row>
    <row r="55" customFormat="false" ht="15" hidden="false" customHeight="false" outlineLevel="0" collapsed="false">
      <c r="A55" s="11"/>
      <c r="B55" s="11"/>
      <c r="C55" s="11"/>
      <c r="D55" s="11"/>
      <c r="E55" s="11"/>
      <c r="F55" s="11"/>
      <c r="G55" s="11"/>
      <c r="H55" s="11"/>
      <c r="I55" s="11"/>
      <c r="J55" s="11"/>
      <c r="K55" s="11"/>
      <c r="L55" s="11"/>
    </row>
    <row r="56" customFormat="false" ht="15" hidden="false" customHeight="false" outlineLevel="0" collapsed="false">
      <c r="A56" s="11"/>
      <c r="B56" s="11"/>
      <c r="C56" s="11"/>
      <c r="D56" s="11"/>
      <c r="E56" s="11"/>
      <c r="F56" s="11"/>
      <c r="G56" s="11"/>
      <c r="H56" s="11"/>
      <c r="I56" s="11"/>
      <c r="J56" s="11"/>
      <c r="K56" s="11"/>
      <c r="L56" s="11"/>
    </row>
    <row r="57" customFormat="false" ht="15" hidden="false" customHeight="false" outlineLevel="0" collapsed="false">
      <c r="A57" s="11"/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</row>
    <row r="58" customFormat="false" ht="15" hidden="false" customHeight="false" outlineLevel="0" collapsed="false">
      <c r="A58" s="11"/>
      <c r="B58" s="11"/>
      <c r="C58" s="11"/>
      <c r="D58" s="11"/>
      <c r="E58" s="11"/>
      <c r="F58" s="11"/>
      <c r="G58" s="11"/>
      <c r="H58" s="11"/>
      <c r="I58" s="11"/>
      <c r="J58" s="11"/>
      <c r="K58" s="11"/>
      <c r="L58" s="11"/>
    </row>
    <row r="59" customFormat="false" ht="15" hidden="false" customHeight="false" outlineLevel="0" collapsed="false">
      <c r="A59" s="11"/>
      <c r="B59" s="11"/>
      <c r="C59" s="11"/>
      <c r="D59" s="11"/>
      <c r="E59" s="11"/>
      <c r="F59" s="11"/>
      <c r="G59" s="11"/>
      <c r="H59" s="11"/>
      <c r="I59" s="11"/>
      <c r="J59" s="11"/>
      <c r="K59" s="11"/>
      <c r="L59" s="11"/>
    </row>
    <row r="61" customFormat="false" ht="15" hidden="false" customHeight="false" outlineLevel="0" collapsed="false">
      <c r="A61" s="2" t="s">
        <v>999</v>
      </c>
    </row>
  </sheetData>
  <dataValidations count="2">
    <dataValidation allowBlank="false" errorStyle="stop" operator="between" showDropDown="false" showErrorMessage="false" showInputMessage="false" sqref="C2:C59" type="list">
      <formula1>"S1,S2,S3,S4"</formula1>
      <formula2>0</formula2>
    </dataValidation>
    <dataValidation allowBlank="false" errorStyle="stop" operator="between" showDropDown="false" showErrorMessage="false" showInputMessage="false" sqref="J2:J59" type="list">
      <formula1>"Ouverte,Corrigée,Re-testée,Clôturée"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0"/>
    <col collapsed="false" customWidth="true" hidden="false" outlineLevel="0" max="3" min="3" style="0" width="26"/>
  </cols>
  <sheetData>
    <row r="1" customFormat="false" ht="15" hidden="false" customHeight="false" outlineLevel="0" collapsed="false">
      <c r="A1" s="3" t="s">
        <v>1000</v>
      </c>
      <c r="B1" s="3" t="s">
        <v>1001</v>
      </c>
      <c r="C1" s="3" t="s">
        <v>1002</v>
      </c>
    </row>
    <row r="2" customFormat="false" ht="23.85" hidden="false" customHeight="false" outlineLevel="0" collapsed="false">
      <c r="A2" s="10" t="s">
        <v>1003</v>
      </c>
      <c r="B2" s="10" t="s">
        <v>1004</v>
      </c>
      <c r="C2" s="10" t="s">
        <v>169</v>
      </c>
    </row>
    <row r="3" customFormat="false" ht="23.85" hidden="false" customHeight="false" outlineLevel="0" collapsed="false">
      <c r="A3" s="10" t="s">
        <v>1005</v>
      </c>
      <c r="B3" s="10" t="s">
        <v>1006</v>
      </c>
      <c r="C3" s="10" t="s">
        <v>1007</v>
      </c>
    </row>
    <row r="4" customFormat="false" ht="23.85" hidden="false" customHeight="false" outlineLevel="0" collapsed="false">
      <c r="A4" s="10" t="s">
        <v>1008</v>
      </c>
      <c r="B4" s="10" t="s">
        <v>1009</v>
      </c>
      <c r="C4" s="10" t="s">
        <v>1010</v>
      </c>
    </row>
    <row r="5" customFormat="false" ht="15" hidden="false" customHeight="false" outlineLevel="0" collapsed="false">
      <c r="A5" s="10" t="s">
        <v>1011</v>
      </c>
      <c r="B5" s="10" t="s">
        <v>1012</v>
      </c>
      <c r="C5" s="10" t="s">
        <v>1013</v>
      </c>
    </row>
    <row r="6" customFormat="false" ht="15" hidden="false" customHeight="false" outlineLevel="0" collapsed="false">
      <c r="A6" s="10" t="s">
        <v>1014</v>
      </c>
      <c r="B6" s="10" t="s">
        <v>1015</v>
      </c>
      <c r="C6" s="10" t="s">
        <v>1016</v>
      </c>
    </row>
    <row r="7" customFormat="false" ht="15" hidden="false" customHeight="false" outlineLevel="0" collapsed="false">
      <c r="A7" s="10" t="s">
        <v>1017</v>
      </c>
      <c r="B7" s="10" t="s">
        <v>1018</v>
      </c>
      <c r="C7" s="10" t="s">
        <v>1019</v>
      </c>
    </row>
    <row r="8" customFormat="false" ht="15" hidden="false" customHeight="false" outlineLevel="0" collapsed="false">
      <c r="A8" s="10" t="s">
        <v>1020</v>
      </c>
      <c r="B8" s="10" t="s">
        <v>1021</v>
      </c>
      <c r="C8" s="10" t="s">
        <v>450</v>
      </c>
    </row>
    <row r="9" customFormat="false" ht="23.85" hidden="false" customHeight="false" outlineLevel="0" collapsed="false">
      <c r="A9" s="10" t="s">
        <v>1022</v>
      </c>
      <c r="B9" s="10" t="s">
        <v>1023</v>
      </c>
      <c r="C9" s="10" t="s">
        <v>679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2026-10-13T13:23:27Z</dcterms:created>
  <dc:creator>openpyxl</dc:creator>
  <dc:description/>
  <dc:language>en-US</dc:language>
  <cp:lastModifiedBy/>
  <dcterms:modified xsi:type="dcterms:W3CDTF">2026-10-13T13:23:27Z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